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oi\Documents\MASTER\Semestre 4\4.2 Stage\appV2\"/>
    </mc:Choice>
  </mc:AlternateContent>
  <xr:revisionPtr revIDLastSave="0" documentId="13_ncr:1_{673D6DC8-BF5E-4FAD-A231-332AA8FCA0C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onnée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" i="1" l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2" i="1"/>
  <c r="BK21" i="1"/>
  <c r="BK16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2" i="1"/>
  <c r="U28" i="1"/>
  <c r="U2" i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T11" i="1"/>
  <c r="Z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Z26" i="1" s="1"/>
  <c r="T27" i="1"/>
  <c r="T28" i="1"/>
  <c r="T29" i="1"/>
  <c r="U29" i="1" s="1"/>
  <c r="T2" i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2" i="1"/>
  <c r="O2" i="1" s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2" i="1"/>
  <c r="BK18" i="1"/>
  <c r="BK3" i="1"/>
  <c r="BK4" i="1"/>
  <c r="BK5" i="1"/>
  <c r="BK7" i="1"/>
  <c r="BK8" i="1"/>
  <c r="BK9" i="1"/>
  <c r="BK10" i="1"/>
  <c r="BK11" i="1"/>
  <c r="BK12" i="1"/>
  <c r="BK13" i="1"/>
  <c r="BK14" i="1"/>
  <c r="BK15" i="1"/>
  <c r="BK17" i="1"/>
  <c r="BK20" i="1"/>
  <c r="BK24" i="1"/>
  <c r="BK25" i="1"/>
  <c r="BK26" i="1"/>
  <c r="BK28" i="1"/>
  <c r="BK29" i="1"/>
  <c r="BK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" i="1"/>
  <c r="Z10" i="1" l="1"/>
  <c r="U10" i="1"/>
  <c r="Z27" i="1"/>
  <c r="Z29" i="1"/>
  <c r="U11" i="1"/>
  <c r="Z28" i="1"/>
  <c r="Z17" i="1"/>
  <c r="Z16" i="1"/>
  <c r="Z15" i="1"/>
  <c r="Z14" i="1"/>
  <c r="Z12" i="1"/>
  <c r="Z13" i="1"/>
  <c r="U27" i="1"/>
  <c r="U26" i="1"/>
  <c r="Z25" i="1"/>
  <c r="Z9" i="1"/>
  <c r="Z24" i="1"/>
  <c r="Z8" i="1"/>
  <c r="Z23" i="1"/>
  <c r="Z7" i="1"/>
  <c r="Z22" i="1"/>
  <c r="Z6" i="1"/>
  <c r="Z21" i="1"/>
  <c r="Z5" i="1"/>
  <c r="Z20" i="1"/>
  <c r="Z4" i="1"/>
  <c r="Z19" i="1"/>
  <c r="Z3" i="1"/>
  <c r="Z18" i="1"/>
  <c r="Z2" i="1"/>
</calcChain>
</file>

<file path=xl/sharedStrings.xml><?xml version="1.0" encoding="utf-8"?>
<sst xmlns="http://schemas.openxmlformats.org/spreadsheetml/2006/main" count="172" uniqueCount="124">
  <si>
    <t>Player ID</t>
  </si>
  <si>
    <t>Joueur</t>
  </si>
  <si>
    <t>Knee To Wall - Gauche</t>
  </si>
  <si>
    <t>Knee To Wall - Droite</t>
  </si>
  <si>
    <t>Sit And Reach</t>
  </si>
  <si>
    <t>Adducteurs - Gauche</t>
  </si>
  <si>
    <t>Adducteurs - Droite</t>
  </si>
  <si>
    <t>Abducteurs - Droite</t>
  </si>
  <si>
    <t>VMA</t>
  </si>
  <si>
    <t>Temps 10m</t>
  </si>
  <si>
    <t>5 - 0 - 5</t>
  </si>
  <si>
    <t>Amax</t>
  </si>
  <si>
    <t>Dmax</t>
  </si>
  <si>
    <t>Vmax</t>
  </si>
  <si>
    <t>Abdoul KONE</t>
  </si>
  <si>
    <t>Adama BOJANG</t>
  </si>
  <si>
    <t>Alexandre OLLIERO</t>
  </si>
  <si>
    <t>Amine SALAMA</t>
  </si>
  <si>
    <t>Antoine LEAUTEY</t>
  </si>
  <si>
    <t>Elie NTAMON</t>
  </si>
  <si>
    <t>Ewen JAOUEN</t>
  </si>
  <si>
    <t>Hafiz IBRAHIM</t>
  </si>
  <si>
    <t>Hiroki SEKINE</t>
  </si>
  <si>
    <t>John PATRICK</t>
  </si>
  <si>
    <t>Joseph OKUMU</t>
  </si>
  <si>
    <t>Keito NAKAMURA</t>
  </si>
  <si>
    <t>Martial TIA</t>
  </si>
  <si>
    <t>Maxime BUSI</t>
  </si>
  <si>
    <t>Mohamed DARAMY</t>
  </si>
  <si>
    <t>Mory GBANE</t>
  </si>
  <si>
    <t>Nicolas PALLOIS</t>
  </si>
  <si>
    <t>Norman BASSETTE</t>
  </si>
  <si>
    <t>Patrick GUEU</t>
  </si>
  <si>
    <t>Sergio AKIEME</t>
  </si>
  <si>
    <t>Soumaila SYLLA</t>
  </si>
  <si>
    <t>Teddy TEUMA</t>
  </si>
  <si>
    <t>Theo LEONI</t>
  </si>
  <si>
    <t>Thiemoko DIARRA</t>
  </si>
  <si>
    <t>Yaya FOFANA</t>
  </si>
  <si>
    <t>Yohan DEMONCY</t>
  </si>
  <si>
    <t>INSTRUCTIONS D'IMPORTATION</t>
  </si>
  <si>
    <t>Champs texte (cellules jaunes)</t>
  </si>
  <si>
    <t>Les colonnes avec cellules jaunes sont des champs texte. Remplissez-les avec les valeurs attendues:</t>
  </si>
  <si>
    <t xml:space="preserve">  • Rotateur: sus-rotateur, sous-rotateur</t>
  </si>
  <si>
    <t xml:space="preserve">  • Autres tests: suivez les exemples fournis dans le template</t>
  </si>
  <si>
    <t>Notes importantes</t>
  </si>
  <si>
    <t xml:space="preserve">  • Ne modifiez pas l'en-tête (ligne 1 et 2)</t>
  </si>
  <si>
    <t xml:space="preserve">  • Conservez les Player IDs exactement comme indiqués</t>
  </si>
  <si>
    <t xml:space="preserve">  • Les cellules vides seront ignorées</t>
  </si>
  <si>
    <t xml:space="preserve">  • Un seul fichier Excel peut être importé à la fois</t>
  </si>
  <si>
    <t>Q G conc 60°/s</t>
  </si>
  <si>
    <t>Q G conc 240°/s</t>
  </si>
  <si>
    <t>IJ Dt conc 60°/s</t>
  </si>
  <si>
    <t>IJ G conc 60°/s</t>
  </si>
  <si>
    <t>Nordic Ischio - Gauche</t>
  </si>
  <si>
    <t>Nordic Ischio - Droite</t>
  </si>
  <si>
    <t>IJ G conc 240°/s</t>
  </si>
  <si>
    <t>IJ Dt conc 240°/s</t>
  </si>
  <si>
    <t>Score Sommeil</t>
  </si>
  <si>
    <t>Score Nutrition</t>
  </si>
  <si>
    <t>Keiser squat R=100</t>
  </si>
  <si>
    <t>Développé couché 1RM</t>
  </si>
  <si>
    <t>Q Dt conc 60°/s</t>
  </si>
  <si>
    <t>Q Dt conc 240°/s</t>
  </si>
  <si>
    <t>IJ G Exc 30°/s</t>
  </si>
  <si>
    <t>IJ Dt exc 30°/s</t>
  </si>
  <si>
    <t>Poste</t>
  </si>
  <si>
    <t>Latéralité</t>
  </si>
  <si>
    <t>Masse grasse (%)</t>
  </si>
  <si>
    <t>Poids (Kg)</t>
  </si>
  <si>
    <t>Taille (cm)</t>
  </si>
  <si>
    <t>CMJ (cm)</t>
  </si>
  <si>
    <t>Wattbike 6s (W)</t>
  </si>
  <si>
    <t>Tirage dos Keiser</t>
  </si>
  <si>
    <t>Landmine throw</t>
  </si>
  <si>
    <t>SV1</t>
  </si>
  <si>
    <t>SV2</t>
  </si>
  <si>
    <t>Distance totale</t>
  </si>
  <si>
    <t>Distance HSR</t>
  </si>
  <si>
    <t>Nb Acc</t>
  </si>
  <si>
    <t>Nb Dec</t>
  </si>
  <si>
    <t>Numero</t>
  </si>
  <si>
    <t>Defenseur</t>
  </si>
  <si>
    <t>Attaquant</t>
  </si>
  <si>
    <t>Gardien</t>
  </si>
  <si>
    <t>Milieu</t>
  </si>
  <si>
    <t>D</t>
  </si>
  <si>
    <t>G</t>
  </si>
  <si>
    <t>Age</t>
  </si>
  <si>
    <t>Landing Dt (N/kg)</t>
  </si>
  <si>
    <t>Landing G (N/kg)</t>
  </si>
  <si>
    <t>Developpé couché (W)</t>
  </si>
  <si>
    <t>Moy ACCDEC</t>
  </si>
  <si>
    <t>Samuel KOTTO</t>
  </si>
  <si>
    <t>Masse grasse Plis (mm)</t>
  </si>
  <si>
    <t>Yassine BENHATTAB</t>
  </si>
  <si>
    <t>Developpé couché (W/kg)</t>
  </si>
  <si>
    <t>Landing %</t>
  </si>
  <si>
    <t>Adducteurs - Gauche (N/kg)</t>
  </si>
  <si>
    <t>Adducteurs - Droite (N/kg)</t>
  </si>
  <si>
    <t xml:space="preserve">Abducteurs - Gauche </t>
  </si>
  <si>
    <t>Abducteurs - Gauche (N/kg)</t>
  </si>
  <si>
    <t>Abducteurs - Droite (N/kg)</t>
  </si>
  <si>
    <t>Nordic Ischio - Gauche (N/kg)</t>
  </si>
  <si>
    <t>Nordic Ischio - Droite (N/kg)</t>
  </si>
  <si>
    <t>Q G conc 60°/s (N/kg)</t>
  </si>
  <si>
    <t>Q Dt conc 60°/s (N/kg)</t>
  </si>
  <si>
    <t>Q G conc 240°/s (N/kg)</t>
  </si>
  <si>
    <t>Q Dt conc 240°/s (N/kg)</t>
  </si>
  <si>
    <t>IJ G conc 60°/s (N/kg)</t>
  </si>
  <si>
    <t>IJ Dt conc 60°/s (N/kg)</t>
  </si>
  <si>
    <t>IJ G conc 240°/s (N/kg)</t>
  </si>
  <si>
    <t>IJ Dt conc 240°/s (N/kg)</t>
  </si>
  <si>
    <t>IJ G Exc 30°/s (N/kg)</t>
  </si>
  <si>
    <t>IJ Dt exc 30°/s (N/kg)</t>
  </si>
  <si>
    <t>Somme ADD</t>
  </si>
  <si>
    <t>Somme ADD (N/kg)</t>
  </si>
  <si>
    <t>Somme ABD</t>
  </si>
  <si>
    <t>Somme ABD (N/kg)</t>
  </si>
  <si>
    <t>Ratio Squeeze (ADD/ABD)</t>
  </si>
  <si>
    <t>Ratio Mixte G</t>
  </si>
  <si>
    <t>Ratio Mixte D</t>
  </si>
  <si>
    <t>Tirage dos Keiser (W/kg)</t>
  </si>
  <si>
    <t>Distance Sprint (92% Vmax)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</si>
</sst>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1"/>
  <sheetViews>
    <sheetView tabSelected="1" zoomScale="125" workbookViewId="0">
      <pane xSplit="2" ySplit="1" topLeftCell="BR8" activePane="bottomRight" state="frozen"/>
      <selection pane="topRight"/>
      <selection pane="bottomLeft"/>
      <selection pane="bottomRight" activeCell="BV20" sqref="BV20"/>
    </sheetView>
  </sheetViews>
  <sheetFormatPr baseColWidth="10" defaultColWidth="8.81640625" defaultRowHeight="14.5" x14ac:dyDescent="0.35"/>
  <cols>
    <col min="1" max="1" width="12" customWidth="1"/>
    <col min="2" max="10" width="25" customWidth="1"/>
  </cols>
  <sheetData>
    <row r="1" spans="1:80" ht="58" x14ac:dyDescent="0.35">
      <c r="A1" s="2" t="s">
        <v>0</v>
      </c>
      <c r="B1" s="2" t="s">
        <v>1</v>
      </c>
      <c r="C1" s="2" t="s">
        <v>88</v>
      </c>
      <c r="D1" s="2" t="s">
        <v>81</v>
      </c>
      <c r="E1" s="2" t="s">
        <v>66</v>
      </c>
      <c r="F1" s="2" t="s">
        <v>67</v>
      </c>
      <c r="G1" s="2" t="s">
        <v>70</v>
      </c>
      <c r="H1" s="2" t="s">
        <v>69</v>
      </c>
      <c r="I1" s="2" t="s">
        <v>94</v>
      </c>
      <c r="J1" s="2" t="s">
        <v>68</v>
      </c>
      <c r="K1" s="2" t="s">
        <v>2</v>
      </c>
      <c r="L1" s="2" t="s">
        <v>3</v>
      </c>
      <c r="M1" s="2" t="s">
        <v>4</v>
      </c>
      <c r="N1" s="2" t="s">
        <v>115</v>
      </c>
      <c r="O1" s="2" t="s">
        <v>116</v>
      </c>
      <c r="P1" s="2" t="s">
        <v>5</v>
      </c>
      <c r="Q1" s="2" t="s">
        <v>98</v>
      </c>
      <c r="R1" s="2" t="s">
        <v>6</v>
      </c>
      <c r="S1" s="2" t="s">
        <v>99</v>
      </c>
      <c r="T1" s="2" t="s">
        <v>117</v>
      </c>
      <c r="U1" s="2" t="s">
        <v>118</v>
      </c>
      <c r="V1" s="2" t="s">
        <v>100</v>
      </c>
      <c r="W1" s="2" t="s">
        <v>101</v>
      </c>
      <c r="X1" s="2" t="s">
        <v>102</v>
      </c>
      <c r="Y1" s="2" t="s">
        <v>7</v>
      </c>
      <c r="Z1" s="2" t="s">
        <v>119</v>
      </c>
      <c r="AA1" s="2" t="s">
        <v>54</v>
      </c>
      <c r="AB1" s="2" t="s">
        <v>103</v>
      </c>
      <c r="AC1" s="2" t="s">
        <v>55</v>
      </c>
      <c r="AD1" s="2" t="s">
        <v>104</v>
      </c>
      <c r="AE1" s="2" t="s">
        <v>50</v>
      </c>
      <c r="AF1" s="2" t="s">
        <v>105</v>
      </c>
      <c r="AG1" s="2" t="s">
        <v>62</v>
      </c>
      <c r="AH1" s="2" t="s">
        <v>106</v>
      </c>
      <c r="AI1" s="2" t="s">
        <v>51</v>
      </c>
      <c r="AJ1" s="2" t="s">
        <v>107</v>
      </c>
      <c r="AK1" s="2" t="s">
        <v>63</v>
      </c>
      <c r="AL1" s="2" t="s">
        <v>108</v>
      </c>
      <c r="AM1" s="2" t="s">
        <v>53</v>
      </c>
      <c r="AN1" s="2" t="s">
        <v>109</v>
      </c>
      <c r="AO1" s="2" t="s">
        <v>52</v>
      </c>
      <c r="AP1" s="2" t="s">
        <v>110</v>
      </c>
      <c r="AQ1" s="2" t="s">
        <v>56</v>
      </c>
      <c r="AR1" s="2" t="s">
        <v>111</v>
      </c>
      <c r="AS1" s="2" t="s">
        <v>57</v>
      </c>
      <c r="AT1" s="2" t="s">
        <v>112</v>
      </c>
      <c r="AU1" s="2" t="s">
        <v>64</v>
      </c>
      <c r="AV1" s="2" t="s">
        <v>113</v>
      </c>
      <c r="AW1" s="2" t="s">
        <v>65</v>
      </c>
      <c r="AX1" s="2" t="s">
        <v>114</v>
      </c>
      <c r="AY1" s="2" t="s">
        <v>120</v>
      </c>
      <c r="AZ1" s="2" t="s">
        <v>121</v>
      </c>
      <c r="BA1" s="2" t="s">
        <v>89</v>
      </c>
      <c r="BB1" s="2" t="s">
        <v>90</v>
      </c>
      <c r="BC1" s="2" t="s">
        <v>97</v>
      </c>
      <c r="BD1" s="2" t="s">
        <v>71</v>
      </c>
      <c r="BE1" s="2" t="s">
        <v>72</v>
      </c>
      <c r="BF1" s="2" t="s">
        <v>60</v>
      </c>
      <c r="BG1" s="2" t="s">
        <v>73</v>
      </c>
      <c r="BH1" s="2" t="s">
        <v>122</v>
      </c>
      <c r="BI1" s="2" t="s">
        <v>61</v>
      </c>
      <c r="BJ1" s="2" t="s">
        <v>91</v>
      </c>
      <c r="BK1" s="2" t="s">
        <v>96</v>
      </c>
      <c r="BL1" s="2" t="s">
        <v>74</v>
      </c>
      <c r="BM1" s="2" t="s">
        <v>58</v>
      </c>
      <c r="BN1" s="2" t="s">
        <v>59</v>
      </c>
      <c r="BO1" s="2" t="s">
        <v>8</v>
      </c>
      <c r="BP1" s="2" t="s">
        <v>75</v>
      </c>
      <c r="BQ1" s="2" t="s">
        <v>76</v>
      </c>
      <c r="BR1" s="2" t="s">
        <v>9</v>
      </c>
      <c r="BS1" s="2" t="s">
        <v>10</v>
      </c>
      <c r="BT1" s="2" t="s">
        <v>77</v>
      </c>
      <c r="BU1" s="2" t="s">
        <v>78</v>
      </c>
      <c r="BV1" s="2" t="s">
        <v>123</v>
      </c>
      <c r="BW1" s="2" t="s">
        <v>79</v>
      </c>
      <c r="BX1" s="2" t="s">
        <v>80</v>
      </c>
      <c r="BY1" s="2" t="s">
        <v>11</v>
      </c>
      <c r="BZ1" s="2" t="s">
        <v>12</v>
      </c>
      <c r="CA1" s="2" t="s">
        <v>13</v>
      </c>
      <c r="CB1" s="8" t="s">
        <v>92</v>
      </c>
    </row>
    <row r="2" spans="1:80" x14ac:dyDescent="0.35">
      <c r="A2" s="3">
        <v>21</v>
      </c>
      <c r="B2" s="4" t="s">
        <v>14</v>
      </c>
      <c r="C2" s="4">
        <v>20</v>
      </c>
      <c r="D2" s="4">
        <v>92</v>
      </c>
      <c r="E2" s="4" t="s">
        <v>82</v>
      </c>
      <c r="F2" s="4" t="s">
        <v>86</v>
      </c>
      <c r="G2" s="4">
        <v>190</v>
      </c>
      <c r="H2" s="4">
        <v>88.8</v>
      </c>
      <c r="I2" s="4">
        <v>51.5</v>
      </c>
      <c r="J2" s="4">
        <v>11.7</v>
      </c>
      <c r="K2" s="5">
        <v>4</v>
      </c>
      <c r="L2" s="5">
        <v>5</v>
      </c>
      <c r="M2" s="5">
        <v>26</v>
      </c>
      <c r="N2" s="5">
        <f>P2+R2</f>
        <v>41</v>
      </c>
      <c r="O2" s="5">
        <f>N2/H2</f>
        <v>0.46171171171171171</v>
      </c>
      <c r="P2" s="5">
        <v>21</v>
      </c>
      <c r="Q2" s="5">
        <f>P2/H2</f>
        <v>0.23648648648648649</v>
      </c>
      <c r="R2" s="5">
        <v>20</v>
      </c>
      <c r="S2" s="5">
        <f>R2/H2</f>
        <v>0.22522522522522523</v>
      </c>
      <c r="T2" s="5">
        <f>V2+X2</f>
        <v>75</v>
      </c>
      <c r="U2" s="5">
        <f>T2/H2</f>
        <v>0.84459459459459463</v>
      </c>
      <c r="V2" s="5">
        <v>39</v>
      </c>
      <c r="W2" s="5">
        <f t="shared" ref="W2:W29" si="0">V2/H2</f>
        <v>0.4391891891891892</v>
      </c>
      <c r="X2" s="5">
        <v>36</v>
      </c>
      <c r="Y2" s="5">
        <f t="shared" ref="Y2:Y29" si="1">X2/H2</f>
        <v>0.40540540540540543</v>
      </c>
      <c r="Z2" s="5">
        <f>N2/T2</f>
        <v>0.54666666666666663</v>
      </c>
      <c r="AA2" s="5">
        <v>40</v>
      </c>
      <c r="AB2" s="5">
        <f t="shared" ref="AB2:AB29" si="2">AA2/H2</f>
        <v>0.45045045045045046</v>
      </c>
      <c r="AC2" s="5">
        <v>47</v>
      </c>
      <c r="AD2" s="5">
        <f t="shared" ref="AD2:AD29" si="3">AC2/H2</f>
        <v>0.52927927927927931</v>
      </c>
      <c r="AE2" s="5">
        <v>276</v>
      </c>
      <c r="AF2" s="5">
        <f t="shared" ref="AF2:AF29" si="4">AE2/H2</f>
        <v>3.1081081081081083</v>
      </c>
      <c r="AG2" s="5">
        <v>294</v>
      </c>
      <c r="AH2" s="5">
        <f t="shared" ref="AH2:AH29" si="5">AG2/H2</f>
        <v>3.310810810810811</v>
      </c>
      <c r="AI2" s="5">
        <v>202</v>
      </c>
      <c r="AJ2" s="5">
        <f t="shared" ref="AJ2:AJ29" si="6">AI2/H2</f>
        <v>2.2747747747747749</v>
      </c>
      <c r="AK2" s="5">
        <v>198</v>
      </c>
      <c r="AL2" s="5">
        <f t="shared" ref="AL2:AL29" si="7">AK2/H2</f>
        <v>2.2297297297297298</v>
      </c>
      <c r="AM2" s="5">
        <v>166</v>
      </c>
      <c r="AN2" s="5">
        <f t="shared" ref="AN2:AN29" si="8">AM2/H2</f>
        <v>1.8693693693693694</v>
      </c>
      <c r="AO2" s="5">
        <v>171</v>
      </c>
      <c r="AP2" s="5">
        <f t="shared" ref="AP2:AP29" si="9">AO2/H2</f>
        <v>1.9256756756756757</v>
      </c>
      <c r="AQ2" s="5">
        <v>142</v>
      </c>
      <c r="AR2" s="5">
        <f t="shared" ref="AR2:AR29" si="10">AQ2/H2</f>
        <v>1.5990990990990992</v>
      </c>
      <c r="AS2" s="5">
        <v>137</v>
      </c>
      <c r="AT2" s="5">
        <f t="shared" ref="AT2:AT29" si="11">AS2/H2</f>
        <v>1.5427927927927929</v>
      </c>
      <c r="AU2" s="5">
        <v>189</v>
      </c>
      <c r="AV2" s="5">
        <f t="shared" ref="AV2:AV29" si="12">AU2/H2</f>
        <v>2.1283783783783785</v>
      </c>
      <c r="AW2" s="5">
        <v>198</v>
      </c>
      <c r="AX2" s="5">
        <f t="shared" ref="AX2:AX29" si="13">AW2/H2</f>
        <v>2.2297297297297298</v>
      </c>
      <c r="AY2" s="5">
        <f>AU2/AI2</f>
        <v>0.9356435643564357</v>
      </c>
      <c r="AZ2" s="5">
        <f>AW2/AK2</f>
        <v>1</v>
      </c>
      <c r="BA2" s="5">
        <v>36</v>
      </c>
      <c r="BB2" s="5">
        <v>33.299999999999997</v>
      </c>
      <c r="BC2" s="5">
        <f>ABS((BA2-BB2)/MAX(BA2,BB2))*100</f>
        <v>7.500000000000008</v>
      </c>
      <c r="BD2" s="5">
        <v>48.962000000000003</v>
      </c>
      <c r="BE2" s="5">
        <v>1365</v>
      </c>
      <c r="BF2" s="5">
        <v>1900</v>
      </c>
      <c r="BG2" s="5">
        <v>1075</v>
      </c>
      <c r="BH2" s="5">
        <f>BG2/H2</f>
        <v>12.105855855855856</v>
      </c>
      <c r="BI2" s="5"/>
      <c r="BJ2" s="5">
        <v>679</v>
      </c>
      <c r="BK2" s="5">
        <f>BJ2/H2</f>
        <v>7.6463963963963968</v>
      </c>
      <c r="BL2" s="5">
        <v>775</v>
      </c>
      <c r="BM2" s="5">
        <v>8</v>
      </c>
      <c r="BN2" s="5">
        <v>3</v>
      </c>
      <c r="BO2" s="5">
        <v>16</v>
      </c>
      <c r="BP2" s="5">
        <v>12</v>
      </c>
      <c r="BQ2" s="5">
        <v>15</v>
      </c>
      <c r="BR2" s="5">
        <v>1.75</v>
      </c>
      <c r="BS2" s="5"/>
      <c r="BT2" s="5">
        <v>9666.9994079999997</v>
      </c>
      <c r="BU2" s="5">
        <v>849.6513516</v>
      </c>
      <c r="BV2" s="5">
        <v>19.918393009999999</v>
      </c>
      <c r="BW2" s="5">
        <v>74</v>
      </c>
      <c r="BX2" s="5">
        <v>80</v>
      </c>
      <c r="BY2" s="5">
        <v>6.8848500000000001</v>
      </c>
      <c r="BZ2" s="5">
        <v>8.67</v>
      </c>
      <c r="CA2" s="5">
        <v>36.4</v>
      </c>
      <c r="CB2">
        <f>AVERAGE(BY2,BZ2)</f>
        <v>7.777425</v>
      </c>
    </row>
    <row r="3" spans="1:80" x14ac:dyDescent="0.35">
      <c r="A3" s="3">
        <v>18</v>
      </c>
      <c r="B3" s="4" t="s">
        <v>15</v>
      </c>
      <c r="C3" s="4">
        <v>21</v>
      </c>
      <c r="D3" s="4">
        <v>27</v>
      </c>
      <c r="E3" s="4" t="s">
        <v>83</v>
      </c>
      <c r="F3" s="4" t="s">
        <v>86</v>
      </c>
      <c r="G3" s="4">
        <v>186</v>
      </c>
      <c r="H3" s="4">
        <v>71.400000000000006</v>
      </c>
      <c r="I3" s="4">
        <v>37</v>
      </c>
      <c r="J3" s="4">
        <v>7.37</v>
      </c>
      <c r="K3" s="5">
        <v>11</v>
      </c>
      <c r="L3" s="5">
        <v>12</v>
      </c>
      <c r="M3" s="5">
        <v>38</v>
      </c>
      <c r="N3" s="5">
        <f t="shared" ref="N3:N29" si="14">P3+R3</f>
        <v>44</v>
      </c>
      <c r="O3" s="5">
        <f t="shared" ref="O3:O29" si="15">N3/H3</f>
        <v>0.6162464985994397</v>
      </c>
      <c r="P3" s="5">
        <v>22</v>
      </c>
      <c r="Q3" s="5">
        <f t="shared" ref="Q3:Q29" si="16">P3/H3</f>
        <v>0.30812324929971985</v>
      </c>
      <c r="R3" s="5">
        <v>22</v>
      </c>
      <c r="S3" s="5">
        <f t="shared" ref="S3:S29" si="17">R3/H3</f>
        <v>0.30812324929971985</v>
      </c>
      <c r="T3" s="5">
        <f t="shared" ref="T3:T29" si="18">V3+X3</f>
        <v>66</v>
      </c>
      <c r="U3" s="5">
        <f t="shared" ref="U3:U29" si="19">T3/H3</f>
        <v>0.9243697478991596</v>
      </c>
      <c r="V3" s="5">
        <v>45</v>
      </c>
      <c r="W3" s="5">
        <f t="shared" si="0"/>
        <v>0.63025210084033612</v>
      </c>
      <c r="X3" s="5">
        <v>21</v>
      </c>
      <c r="Y3" s="5">
        <f t="shared" si="1"/>
        <v>0.29411764705882348</v>
      </c>
      <c r="Z3" s="5">
        <f t="shared" ref="Z3:Z29" si="20">N3/T3</f>
        <v>0.66666666666666663</v>
      </c>
      <c r="AA3" s="5">
        <v>29</v>
      </c>
      <c r="AB3" s="5">
        <f t="shared" si="2"/>
        <v>0.40616246498599434</v>
      </c>
      <c r="AC3" s="5">
        <v>27</v>
      </c>
      <c r="AD3" s="5">
        <f t="shared" si="3"/>
        <v>0.37815126050420167</v>
      </c>
      <c r="AE3" s="5">
        <v>244</v>
      </c>
      <c r="AF3" s="5">
        <f t="shared" si="4"/>
        <v>3.4173669467787113</v>
      </c>
      <c r="AG3" s="5">
        <v>282</v>
      </c>
      <c r="AH3" s="5">
        <f t="shared" si="5"/>
        <v>3.9495798319327728</v>
      </c>
      <c r="AI3" s="5">
        <v>145</v>
      </c>
      <c r="AJ3" s="5">
        <f t="shared" si="6"/>
        <v>2.0308123249299719</v>
      </c>
      <c r="AK3" s="5">
        <v>160</v>
      </c>
      <c r="AL3" s="5">
        <f t="shared" si="7"/>
        <v>2.2408963585434174</v>
      </c>
      <c r="AM3" s="5">
        <v>132</v>
      </c>
      <c r="AN3" s="5">
        <f t="shared" si="8"/>
        <v>1.8487394957983192</v>
      </c>
      <c r="AO3" s="5">
        <v>157</v>
      </c>
      <c r="AP3" s="5">
        <f t="shared" si="9"/>
        <v>2.198879551820728</v>
      </c>
      <c r="AQ3" s="5">
        <v>107</v>
      </c>
      <c r="AR3" s="5">
        <f t="shared" si="10"/>
        <v>1.4985994397759101</v>
      </c>
      <c r="AS3" s="5">
        <v>108</v>
      </c>
      <c r="AT3" s="5">
        <f t="shared" si="11"/>
        <v>1.5126050420168067</v>
      </c>
      <c r="AU3" s="5">
        <v>127</v>
      </c>
      <c r="AV3" s="5">
        <f t="shared" si="12"/>
        <v>1.7787114845938374</v>
      </c>
      <c r="AW3" s="5">
        <v>118</v>
      </c>
      <c r="AX3" s="5">
        <f t="shared" si="13"/>
        <v>1.6526610644257702</v>
      </c>
      <c r="AY3" s="5">
        <f t="shared" ref="AY3:AY29" si="21">AU3/AI3</f>
        <v>0.87586206896551722</v>
      </c>
      <c r="AZ3" s="5">
        <f t="shared" ref="AZ3:AZ29" si="22">AW3/AK3</f>
        <v>0.73750000000000004</v>
      </c>
      <c r="BA3" s="5">
        <v>54</v>
      </c>
      <c r="BB3" s="5">
        <v>46.9</v>
      </c>
      <c r="BC3" s="5">
        <f t="shared" ref="BC3:BC29" si="23">ABS((BA3-BB3)/MAX(BA3,BB3))*100</f>
        <v>13.148148148148151</v>
      </c>
      <c r="BD3" s="5">
        <v>37.487000000000002</v>
      </c>
      <c r="BE3" s="5">
        <v>927</v>
      </c>
      <c r="BF3" s="5">
        <v>1832</v>
      </c>
      <c r="BG3" s="5">
        <v>730</v>
      </c>
      <c r="BH3" s="5">
        <f t="shared" ref="BH3:BH29" si="24">BG3/H3</f>
        <v>10.224089635854341</v>
      </c>
      <c r="BI3" s="5">
        <v>85</v>
      </c>
      <c r="BJ3" s="5">
        <v>522</v>
      </c>
      <c r="BK3" s="5">
        <f>BJ3/H3</f>
        <v>7.3109243697478989</v>
      </c>
      <c r="BL3" s="5">
        <v>592</v>
      </c>
      <c r="BM3" s="5">
        <v>5</v>
      </c>
      <c r="BN3" s="5">
        <v>5</v>
      </c>
      <c r="BO3" s="5">
        <v>17.5</v>
      </c>
      <c r="BP3" s="5">
        <v>13</v>
      </c>
      <c r="BQ3" s="5">
        <v>16</v>
      </c>
      <c r="BR3" s="5">
        <v>1.98</v>
      </c>
      <c r="BS3" s="5"/>
      <c r="BT3" s="5">
        <v>10324.24337</v>
      </c>
      <c r="BU3" s="5">
        <v>785.15383169999996</v>
      </c>
      <c r="BV3" s="5">
        <v>3.6835940800000002</v>
      </c>
      <c r="BW3" s="5">
        <v>118</v>
      </c>
      <c r="BX3" s="5">
        <v>96</v>
      </c>
      <c r="BY3" s="5">
        <v>6.83</v>
      </c>
      <c r="BZ3" s="5">
        <v>8.01</v>
      </c>
      <c r="CA3" s="5">
        <v>35.799999999999997</v>
      </c>
      <c r="CB3">
        <f t="shared" ref="CB3:CB27" si="25">AVERAGE(BY3,BZ3)</f>
        <v>7.42</v>
      </c>
    </row>
    <row r="4" spans="1:80" x14ac:dyDescent="0.35">
      <c r="A4" s="3">
        <v>35</v>
      </c>
      <c r="B4" s="4" t="s">
        <v>16</v>
      </c>
      <c r="C4" s="4">
        <v>29</v>
      </c>
      <c r="D4" s="4">
        <v>20</v>
      </c>
      <c r="E4" s="4" t="s">
        <v>84</v>
      </c>
      <c r="F4" s="4" t="s">
        <v>86</v>
      </c>
      <c r="G4" s="4">
        <v>192</v>
      </c>
      <c r="H4" s="4">
        <v>84</v>
      </c>
      <c r="I4" s="4">
        <v>53</v>
      </c>
      <c r="J4" s="4">
        <v>11.03</v>
      </c>
      <c r="K4" s="5">
        <v>7</v>
      </c>
      <c r="L4" s="5">
        <v>8</v>
      </c>
      <c r="M4" s="5">
        <v>19</v>
      </c>
      <c r="N4" s="5">
        <f t="shared" si="14"/>
        <v>47</v>
      </c>
      <c r="O4" s="5">
        <f t="shared" si="15"/>
        <v>0.55952380952380953</v>
      </c>
      <c r="P4" s="5">
        <v>23</v>
      </c>
      <c r="Q4" s="5">
        <f t="shared" si="16"/>
        <v>0.27380952380952384</v>
      </c>
      <c r="R4" s="5">
        <v>24</v>
      </c>
      <c r="S4" s="5">
        <f t="shared" si="17"/>
        <v>0.2857142857142857</v>
      </c>
      <c r="T4" s="5">
        <f t="shared" si="18"/>
        <v>58</v>
      </c>
      <c r="U4" s="5">
        <f t="shared" si="19"/>
        <v>0.69047619047619047</v>
      </c>
      <c r="V4" s="5">
        <v>28</v>
      </c>
      <c r="W4" s="5">
        <f t="shared" si="0"/>
        <v>0.33333333333333331</v>
      </c>
      <c r="X4" s="5">
        <v>30</v>
      </c>
      <c r="Y4" s="5">
        <f t="shared" si="1"/>
        <v>0.35714285714285715</v>
      </c>
      <c r="Z4" s="5">
        <f t="shared" si="20"/>
        <v>0.81034482758620685</v>
      </c>
      <c r="AA4" s="5">
        <v>18</v>
      </c>
      <c r="AB4" s="5">
        <f t="shared" si="2"/>
        <v>0.21428571428571427</v>
      </c>
      <c r="AC4" s="5">
        <v>12</v>
      </c>
      <c r="AD4" s="5">
        <f t="shared" si="3"/>
        <v>0.14285714285714285</v>
      </c>
      <c r="AE4" s="5">
        <v>252</v>
      </c>
      <c r="AF4" s="5">
        <f t="shared" si="4"/>
        <v>3</v>
      </c>
      <c r="AG4" s="5">
        <v>248</v>
      </c>
      <c r="AH4" s="5">
        <f t="shared" si="5"/>
        <v>2.9523809523809526</v>
      </c>
      <c r="AI4" s="5">
        <v>141</v>
      </c>
      <c r="AJ4" s="5">
        <f t="shared" si="6"/>
        <v>1.6785714285714286</v>
      </c>
      <c r="AK4" s="5">
        <v>141</v>
      </c>
      <c r="AL4" s="5">
        <f t="shared" si="7"/>
        <v>1.6785714285714286</v>
      </c>
      <c r="AM4" s="5">
        <v>151</v>
      </c>
      <c r="AN4" s="5">
        <f t="shared" si="8"/>
        <v>1.7976190476190477</v>
      </c>
      <c r="AO4" s="5">
        <v>145</v>
      </c>
      <c r="AP4" s="5">
        <f t="shared" si="9"/>
        <v>1.7261904761904763</v>
      </c>
      <c r="AQ4" s="5">
        <v>129</v>
      </c>
      <c r="AR4" s="5">
        <f t="shared" si="10"/>
        <v>1.5357142857142858</v>
      </c>
      <c r="AS4" s="5">
        <v>105</v>
      </c>
      <c r="AT4" s="5">
        <f t="shared" si="11"/>
        <v>1.25</v>
      </c>
      <c r="AU4" s="5">
        <v>18</v>
      </c>
      <c r="AV4" s="5">
        <f t="shared" si="12"/>
        <v>0.21428571428571427</v>
      </c>
      <c r="AW4" s="5">
        <v>22</v>
      </c>
      <c r="AX4" s="5">
        <f t="shared" si="13"/>
        <v>0.26190476190476192</v>
      </c>
      <c r="AY4" s="5">
        <f t="shared" si="21"/>
        <v>0.1276595744680851</v>
      </c>
      <c r="AZ4" s="5">
        <f t="shared" si="22"/>
        <v>0.15602836879432624</v>
      </c>
      <c r="BA4" s="5">
        <v>31</v>
      </c>
      <c r="BB4" s="5">
        <v>33.299999999999997</v>
      </c>
      <c r="BC4" s="5">
        <f t="shared" si="23"/>
        <v>6.9069069069068982</v>
      </c>
      <c r="BD4" s="5">
        <v>36.460999999999999</v>
      </c>
      <c r="BE4" s="5">
        <v>1268</v>
      </c>
      <c r="BF4" s="5">
        <v>1990</v>
      </c>
      <c r="BG4" s="5">
        <v>857</v>
      </c>
      <c r="BH4" s="5">
        <f t="shared" si="24"/>
        <v>10.202380952380953</v>
      </c>
      <c r="BI4" s="5"/>
      <c r="BJ4" s="5">
        <v>659</v>
      </c>
      <c r="BK4" s="5">
        <f>BJ4/H4</f>
        <v>7.8452380952380949</v>
      </c>
      <c r="BL4" s="5">
        <v>828</v>
      </c>
      <c r="BM4" s="5">
        <v>5</v>
      </c>
      <c r="BN4" s="5">
        <v>5</v>
      </c>
      <c r="BO4" s="5">
        <v>15.6</v>
      </c>
      <c r="BP4" s="5">
        <v>11</v>
      </c>
      <c r="BQ4" s="5">
        <v>14</v>
      </c>
      <c r="BR4" s="5"/>
      <c r="BS4" s="5"/>
      <c r="BT4" s="5">
        <v>6094.8843040000002</v>
      </c>
      <c r="BU4" s="5">
        <v>40.957782610000002</v>
      </c>
      <c r="BV4" s="5">
        <v>0</v>
      </c>
      <c r="BW4" s="5">
        <v>38</v>
      </c>
      <c r="BX4" s="5">
        <v>21</v>
      </c>
      <c r="BY4" s="5">
        <v>6.79</v>
      </c>
      <c r="BZ4" s="5">
        <v>8.18</v>
      </c>
      <c r="CA4" s="5">
        <v>28.8</v>
      </c>
      <c r="CB4">
        <f t="shared" si="25"/>
        <v>7.4849999999999994</v>
      </c>
    </row>
    <row r="5" spans="1:80" x14ac:dyDescent="0.35">
      <c r="A5" s="3">
        <v>9</v>
      </c>
      <c r="B5" s="4" t="s">
        <v>17</v>
      </c>
      <c r="C5" s="4">
        <v>25</v>
      </c>
      <c r="D5" s="4">
        <v>11</v>
      </c>
      <c r="E5" s="4" t="s">
        <v>83</v>
      </c>
      <c r="F5" s="4" t="s">
        <v>86</v>
      </c>
      <c r="G5" s="4">
        <v>191</v>
      </c>
      <c r="H5" s="4">
        <v>80</v>
      </c>
      <c r="I5" s="4">
        <v>44</v>
      </c>
      <c r="J5" s="4">
        <v>10.09</v>
      </c>
      <c r="K5" s="5">
        <v>12</v>
      </c>
      <c r="L5" s="5">
        <v>22</v>
      </c>
      <c r="M5" s="5">
        <v>12</v>
      </c>
      <c r="N5" s="5">
        <f t="shared" si="14"/>
        <v>50</v>
      </c>
      <c r="O5" s="5">
        <f t="shared" si="15"/>
        <v>0.625</v>
      </c>
      <c r="P5" s="5">
        <v>25</v>
      </c>
      <c r="Q5" s="5">
        <f t="shared" si="16"/>
        <v>0.3125</v>
      </c>
      <c r="R5" s="5">
        <v>25</v>
      </c>
      <c r="S5" s="5">
        <f t="shared" si="17"/>
        <v>0.3125</v>
      </c>
      <c r="T5" s="5">
        <f t="shared" si="18"/>
        <v>75</v>
      </c>
      <c r="U5" s="5">
        <f t="shared" si="19"/>
        <v>0.9375</v>
      </c>
      <c r="V5" s="5">
        <v>51</v>
      </c>
      <c r="W5" s="5">
        <f t="shared" si="0"/>
        <v>0.63749999999999996</v>
      </c>
      <c r="X5" s="5">
        <v>24</v>
      </c>
      <c r="Y5" s="5">
        <f t="shared" si="1"/>
        <v>0.3</v>
      </c>
      <c r="Z5" s="5">
        <f t="shared" si="20"/>
        <v>0.66666666666666663</v>
      </c>
      <c r="AA5" s="5">
        <v>32</v>
      </c>
      <c r="AB5" s="5">
        <f t="shared" si="2"/>
        <v>0.4</v>
      </c>
      <c r="AC5" s="5">
        <v>34</v>
      </c>
      <c r="AD5" s="5">
        <f t="shared" si="3"/>
        <v>0.42499999999999999</v>
      </c>
      <c r="AE5" s="5">
        <v>227</v>
      </c>
      <c r="AF5" s="5">
        <f t="shared" si="4"/>
        <v>2.8374999999999999</v>
      </c>
      <c r="AG5" s="5">
        <v>265</v>
      </c>
      <c r="AH5" s="5">
        <f t="shared" si="5"/>
        <v>3.3125</v>
      </c>
      <c r="AI5" s="5">
        <v>242</v>
      </c>
      <c r="AJ5" s="5">
        <f t="shared" si="6"/>
        <v>3.0249999999999999</v>
      </c>
      <c r="AK5" s="5">
        <v>179</v>
      </c>
      <c r="AL5" s="5">
        <f t="shared" si="7"/>
        <v>2.2374999999999998</v>
      </c>
      <c r="AM5" s="5">
        <v>150</v>
      </c>
      <c r="AN5" s="5">
        <f t="shared" si="8"/>
        <v>1.875</v>
      </c>
      <c r="AO5" s="5">
        <v>154</v>
      </c>
      <c r="AP5" s="5">
        <f t="shared" si="9"/>
        <v>1.925</v>
      </c>
      <c r="AQ5" s="5">
        <v>128</v>
      </c>
      <c r="AR5" s="5">
        <f t="shared" si="10"/>
        <v>1.6</v>
      </c>
      <c r="AS5" s="5">
        <v>124</v>
      </c>
      <c r="AT5" s="5">
        <f t="shared" si="11"/>
        <v>1.55</v>
      </c>
      <c r="AU5" s="5">
        <v>170</v>
      </c>
      <c r="AV5" s="5">
        <f t="shared" si="12"/>
        <v>2.125</v>
      </c>
      <c r="AW5" s="5">
        <v>178</v>
      </c>
      <c r="AX5" s="5">
        <f t="shared" si="13"/>
        <v>2.2250000000000001</v>
      </c>
      <c r="AY5" s="5">
        <f t="shared" si="21"/>
        <v>0.7024793388429752</v>
      </c>
      <c r="AZ5" s="5">
        <f t="shared" si="22"/>
        <v>0.994413407821229</v>
      </c>
      <c r="BA5" s="5">
        <v>57.1</v>
      </c>
      <c r="BB5" s="5">
        <v>62.9</v>
      </c>
      <c r="BC5" s="5">
        <f t="shared" si="23"/>
        <v>9.2209856915739223</v>
      </c>
      <c r="BD5" s="5">
        <v>57.688000000000002</v>
      </c>
      <c r="BE5" s="5">
        <v>1412</v>
      </c>
      <c r="BF5" s="5">
        <v>1900</v>
      </c>
      <c r="BG5" s="5">
        <v>1111</v>
      </c>
      <c r="BH5" s="5">
        <f t="shared" si="24"/>
        <v>13.887499999999999</v>
      </c>
      <c r="BI5" s="5"/>
      <c r="BJ5" s="5">
        <v>520</v>
      </c>
      <c r="BK5" s="5">
        <f>BJ5/H5</f>
        <v>6.5</v>
      </c>
      <c r="BL5" s="5"/>
      <c r="BM5" s="5">
        <v>5</v>
      </c>
      <c r="BN5" s="5">
        <v>5</v>
      </c>
      <c r="BO5" s="5">
        <v>16</v>
      </c>
      <c r="BP5" s="5">
        <v>13</v>
      </c>
      <c r="BQ5" s="5">
        <v>17</v>
      </c>
      <c r="BR5" s="5">
        <v>1.75</v>
      </c>
      <c r="BS5" s="5"/>
      <c r="BT5" s="5">
        <v>11560.20414</v>
      </c>
      <c r="BU5" s="5">
        <v>1377.4849059999999</v>
      </c>
      <c r="BV5" s="5">
        <v>82.261144819999998</v>
      </c>
      <c r="BW5" s="5">
        <v>119</v>
      </c>
      <c r="BX5" s="5">
        <v>118</v>
      </c>
      <c r="BY5" s="5">
        <v>6.8</v>
      </c>
      <c r="BZ5" s="5">
        <v>8.8582300000000007</v>
      </c>
      <c r="CA5" s="5">
        <v>37.25</v>
      </c>
      <c r="CB5">
        <f t="shared" si="25"/>
        <v>7.8291149999999998</v>
      </c>
    </row>
    <row r="6" spans="1:80" x14ac:dyDescent="0.35">
      <c r="A6" s="3">
        <v>180</v>
      </c>
      <c r="B6" s="4" t="s">
        <v>18</v>
      </c>
      <c r="C6" s="4">
        <v>29</v>
      </c>
      <c r="D6" s="4">
        <v>7</v>
      </c>
      <c r="E6" s="4" t="s">
        <v>83</v>
      </c>
      <c r="F6" s="4" t="s">
        <v>86</v>
      </c>
      <c r="G6" s="4">
        <v>172</v>
      </c>
      <c r="H6" s="4">
        <v>68</v>
      </c>
      <c r="I6" s="4"/>
      <c r="J6" s="4">
        <v>10</v>
      </c>
      <c r="K6" s="5">
        <v>7</v>
      </c>
      <c r="L6" s="5">
        <v>8</v>
      </c>
      <c r="M6" s="5">
        <v>22</v>
      </c>
      <c r="N6" s="5">
        <f t="shared" si="14"/>
        <v>50</v>
      </c>
      <c r="O6" s="5">
        <f t="shared" si="15"/>
        <v>0.73529411764705888</v>
      </c>
      <c r="P6" s="5">
        <v>26</v>
      </c>
      <c r="Q6" s="5">
        <f t="shared" si="16"/>
        <v>0.38235294117647056</v>
      </c>
      <c r="R6" s="5">
        <v>24</v>
      </c>
      <c r="S6" s="5">
        <f t="shared" si="17"/>
        <v>0.35294117647058826</v>
      </c>
      <c r="T6" s="5">
        <f t="shared" si="18"/>
        <v>74</v>
      </c>
      <c r="U6" s="5">
        <f t="shared" si="19"/>
        <v>1.088235294117647</v>
      </c>
      <c r="V6" s="5">
        <v>38</v>
      </c>
      <c r="W6" s="5">
        <f t="shared" si="0"/>
        <v>0.55882352941176472</v>
      </c>
      <c r="X6" s="5">
        <v>36</v>
      </c>
      <c r="Y6" s="5">
        <f t="shared" si="1"/>
        <v>0.52941176470588236</v>
      </c>
      <c r="Z6" s="5">
        <f t="shared" si="20"/>
        <v>0.67567567567567566</v>
      </c>
      <c r="AA6" s="5">
        <v>107</v>
      </c>
      <c r="AB6" s="5">
        <f t="shared" si="2"/>
        <v>1.5735294117647058</v>
      </c>
      <c r="AC6" s="5">
        <v>24</v>
      </c>
      <c r="AD6" s="5">
        <f t="shared" si="3"/>
        <v>0.35294117647058826</v>
      </c>
      <c r="AE6" s="5">
        <v>123</v>
      </c>
      <c r="AF6" s="5">
        <f t="shared" si="4"/>
        <v>1.8088235294117647</v>
      </c>
      <c r="AG6" s="5">
        <v>123</v>
      </c>
      <c r="AH6" s="5">
        <f t="shared" si="5"/>
        <v>1.8088235294117647</v>
      </c>
      <c r="AI6" s="5">
        <v>116</v>
      </c>
      <c r="AJ6" s="5">
        <f t="shared" si="6"/>
        <v>1.7058823529411764</v>
      </c>
      <c r="AK6" s="5">
        <v>105</v>
      </c>
      <c r="AL6" s="5">
        <f t="shared" si="7"/>
        <v>1.5441176470588236</v>
      </c>
      <c r="AM6" s="5">
        <v>84</v>
      </c>
      <c r="AN6" s="5">
        <f t="shared" si="8"/>
        <v>1.2352941176470589</v>
      </c>
      <c r="AO6" s="5">
        <v>71</v>
      </c>
      <c r="AP6" s="5">
        <f t="shared" si="9"/>
        <v>1.0441176470588236</v>
      </c>
      <c r="AQ6" s="5">
        <v>120</v>
      </c>
      <c r="AR6" s="5">
        <f t="shared" si="10"/>
        <v>1.7647058823529411</v>
      </c>
      <c r="AS6" s="5">
        <v>92</v>
      </c>
      <c r="AT6" s="5">
        <f t="shared" si="11"/>
        <v>1.3529411764705883</v>
      </c>
      <c r="AU6" s="5">
        <v>126</v>
      </c>
      <c r="AV6" s="5">
        <f t="shared" si="12"/>
        <v>1.8529411764705883</v>
      </c>
      <c r="AW6" s="5">
        <v>132</v>
      </c>
      <c r="AX6" s="5">
        <f t="shared" si="13"/>
        <v>1.9411764705882353</v>
      </c>
      <c r="AY6" s="5">
        <f t="shared" si="21"/>
        <v>1.0862068965517242</v>
      </c>
      <c r="AZ6" s="5">
        <f t="shared" si="22"/>
        <v>1.2571428571428571</v>
      </c>
      <c r="BA6" s="5">
        <v>41.6</v>
      </c>
      <c r="BB6" s="5">
        <v>43.3</v>
      </c>
      <c r="BC6" s="5">
        <f t="shared" si="23"/>
        <v>3.9260969976905216</v>
      </c>
      <c r="BD6" s="5">
        <v>37.843000000000004</v>
      </c>
      <c r="BE6" s="5">
        <v>1363.5</v>
      </c>
      <c r="BF6" s="5">
        <v>1900</v>
      </c>
      <c r="BG6" s="5"/>
      <c r="BH6" s="5">
        <f t="shared" si="24"/>
        <v>0</v>
      </c>
      <c r="BI6" s="5"/>
      <c r="BJ6" s="5"/>
      <c r="BK6" s="5"/>
      <c r="BL6" s="5"/>
      <c r="BM6" s="5">
        <v>5</v>
      </c>
      <c r="BN6" s="5">
        <v>5</v>
      </c>
      <c r="BO6" s="5">
        <v>16</v>
      </c>
      <c r="BP6" s="5">
        <v>14</v>
      </c>
      <c r="BQ6" s="5">
        <v>16</v>
      </c>
      <c r="BR6" s="5">
        <v>1.78</v>
      </c>
      <c r="BS6" s="5"/>
      <c r="BT6" s="5">
        <v>11952.65436</v>
      </c>
      <c r="BU6" s="5">
        <v>1621.6211639999999</v>
      </c>
      <c r="BV6" s="5">
        <v>43.200815630000001</v>
      </c>
      <c r="BW6" s="5">
        <v>112</v>
      </c>
      <c r="BX6" s="5">
        <v>148</v>
      </c>
      <c r="BY6" s="5">
        <v>6.64</v>
      </c>
      <c r="BZ6" s="5">
        <v>8.49</v>
      </c>
      <c r="CA6" s="5">
        <v>34.619999999999997</v>
      </c>
      <c r="CB6">
        <f t="shared" si="25"/>
        <v>7.5649999999999995</v>
      </c>
    </row>
    <row r="7" spans="1:80" x14ac:dyDescent="0.35">
      <c r="A7" s="3">
        <v>181</v>
      </c>
      <c r="B7" s="4" t="s">
        <v>19</v>
      </c>
      <c r="C7" s="4">
        <v>21</v>
      </c>
      <c r="D7" s="4">
        <v>28</v>
      </c>
      <c r="E7" s="4" t="s">
        <v>82</v>
      </c>
      <c r="F7" s="4" t="s">
        <v>86</v>
      </c>
      <c r="G7" s="4">
        <v>188</v>
      </c>
      <c r="H7" s="4">
        <v>84</v>
      </c>
      <c r="I7" s="4">
        <v>43.5</v>
      </c>
      <c r="J7" s="4">
        <v>10.09</v>
      </c>
      <c r="K7" s="5">
        <v>10</v>
      </c>
      <c r="L7" s="5">
        <v>12</v>
      </c>
      <c r="M7" s="5">
        <v>32</v>
      </c>
      <c r="N7" s="5">
        <f t="shared" si="14"/>
        <v>45</v>
      </c>
      <c r="O7" s="5">
        <f t="shared" si="15"/>
        <v>0.5357142857142857</v>
      </c>
      <c r="P7" s="5">
        <v>22</v>
      </c>
      <c r="Q7" s="5">
        <f t="shared" si="16"/>
        <v>0.26190476190476192</v>
      </c>
      <c r="R7" s="5">
        <v>23</v>
      </c>
      <c r="S7" s="5">
        <f t="shared" si="17"/>
        <v>0.27380952380952384</v>
      </c>
      <c r="T7" s="5">
        <f t="shared" si="18"/>
        <v>65</v>
      </c>
      <c r="U7" s="5">
        <f t="shared" si="19"/>
        <v>0.77380952380952384</v>
      </c>
      <c r="V7" s="5">
        <v>45</v>
      </c>
      <c r="W7" s="5">
        <f t="shared" si="0"/>
        <v>0.5357142857142857</v>
      </c>
      <c r="X7" s="5">
        <v>20</v>
      </c>
      <c r="Y7" s="5">
        <f t="shared" si="1"/>
        <v>0.23809523809523808</v>
      </c>
      <c r="Z7" s="5">
        <f t="shared" si="20"/>
        <v>0.69230769230769229</v>
      </c>
      <c r="AA7" s="5">
        <v>41</v>
      </c>
      <c r="AB7" s="5">
        <f t="shared" si="2"/>
        <v>0.48809523809523808</v>
      </c>
      <c r="AC7" s="5">
        <v>35</v>
      </c>
      <c r="AD7" s="5">
        <f t="shared" si="3"/>
        <v>0.41666666666666669</v>
      </c>
      <c r="AE7" s="5">
        <v>271</v>
      </c>
      <c r="AF7" s="5">
        <f t="shared" si="4"/>
        <v>3.2261904761904763</v>
      </c>
      <c r="AG7" s="5">
        <v>288</v>
      </c>
      <c r="AH7" s="5">
        <f t="shared" si="5"/>
        <v>3.4285714285714284</v>
      </c>
      <c r="AI7" s="5">
        <v>198</v>
      </c>
      <c r="AJ7" s="5">
        <f t="shared" si="6"/>
        <v>2.3571428571428572</v>
      </c>
      <c r="AK7" s="5">
        <v>194</v>
      </c>
      <c r="AL7" s="5">
        <f t="shared" si="7"/>
        <v>2.3095238095238093</v>
      </c>
      <c r="AM7" s="5">
        <v>163</v>
      </c>
      <c r="AN7" s="5">
        <f t="shared" si="8"/>
        <v>1.9404761904761905</v>
      </c>
      <c r="AO7" s="5">
        <v>167</v>
      </c>
      <c r="AP7" s="5">
        <f t="shared" si="9"/>
        <v>1.9880952380952381</v>
      </c>
      <c r="AQ7" s="5">
        <v>139</v>
      </c>
      <c r="AR7" s="5">
        <f t="shared" si="10"/>
        <v>1.6547619047619047</v>
      </c>
      <c r="AS7" s="5">
        <v>135</v>
      </c>
      <c r="AT7" s="5">
        <f t="shared" si="11"/>
        <v>1.6071428571428572</v>
      </c>
      <c r="AU7" s="5">
        <v>185</v>
      </c>
      <c r="AV7" s="5">
        <f t="shared" si="12"/>
        <v>2.2023809523809526</v>
      </c>
      <c r="AW7" s="5">
        <v>194</v>
      </c>
      <c r="AX7" s="5">
        <f t="shared" si="13"/>
        <v>2.3095238095238093</v>
      </c>
      <c r="AY7" s="5">
        <f t="shared" si="21"/>
        <v>0.93434343434343436</v>
      </c>
      <c r="AZ7" s="5">
        <f t="shared" si="22"/>
        <v>1</v>
      </c>
      <c r="BA7" s="5">
        <v>28.8</v>
      </c>
      <c r="BB7" s="5">
        <v>26.8</v>
      </c>
      <c r="BC7" s="5">
        <f t="shared" si="23"/>
        <v>6.9444444444444446</v>
      </c>
      <c r="BD7" s="5">
        <v>48.057000000000002</v>
      </c>
      <c r="BE7" s="5">
        <v>1411.7</v>
      </c>
      <c r="BF7" s="5">
        <v>2099</v>
      </c>
      <c r="BG7" s="5">
        <v>1003</v>
      </c>
      <c r="BH7" s="5">
        <f t="shared" si="24"/>
        <v>11.94047619047619</v>
      </c>
      <c r="BI7" s="5">
        <v>80</v>
      </c>
      <c r="BJ7" s="5">
        <v>462</v>
      </c>
      <c r="BK7" s="5">
        <f t="shared" ref="BK7:BK18" si="26">BJ7/H7</f>
        <v>5.5</v>
      </c>
      <c r="BL7" s="5">
        <v>687</v>
      </c>
      <c r="BM7" s="5">
        <v>5</v>
      </c>
      <c r="BN7" s="5">
        <v>5</v>
      </c>
      <c r="BO7" s="5">
        <v>16</v>
      </c>
      <c r="BP7" s="5">
        <v>12</v>
      </c>
      <c r="BQ7" s="5">
        <v>15</v>
      </c>
      <c r="BR7" s="5">
        <v>1.88</v>
      </c>
      <c r="BS7" s="5"/>
      <c r="BT7" s="5">
        <v>10156.8691</v>
      </c>
      <c r="BU7" s="5">
        <v>673.07311360000006</v>
      </c>
      <c r="BV7" s="5">
        <v>38.120563400000002</v>
      </c>
      <c r="BW7" s="5">
        <v>97</v>
      </c>
      <c r="BX7" s="5">
        <v>108</v>
      </c>
      <c r="BY7" s="5">
        <v>6.37</v>
      </c>
      <c r="BZ7" s="5">
        <v>7.98</v>
      </c>
      <c r="CA7" s="5">
        <v>32.68</v>
      </c>
      <c r="CB7">
        <f t="shared" si="25"/>
        <v>7.1750000000000007</v>
      </c>
    </row>
    <row r="8" spans="1:80" x14ac:dyDescent="0.35">
      <c r="A8" s="3">
        <v>144</v>
      </c>
      <c r="B8" s="4" t="s">
        <v>20</v>
      </c>
      <c r="C8" s="4">
        <v>19</v>
      </c>
      <c r="D8" s="4">
        <v>29</v>
      </c>
      <c r="E8" s="4" t="s">
        <v>84</v>
      </c>
      <c r="F8" s="4" t="s">
        <v>86</v>
      </c>
      <c r="G8" s="4">
        <v>200</v>
      </c>
      <c r="H8" s="4">
        <v>94</v>
      </c>
      <c r="I8" s="4">
        <v>58</v>
      </c>
      <c r="J8" s="4">
        <v>11.48</v>
      </c>
      <c r="K8" s="5">
        <v>7</v>
      </c>
      <c r="L8" s="5">
        <v>6</v>
      </c>
      <c r="M8" s="5">
        <v>34</v>
      </c>
      <c r="N8" s="5">
        <f t="shared" si="14"/>
        <v>52</v>
      </c>
      <c r="O8" s="5">
        <f t="shared" si="15"/>
        <v>0.55319148936170215</v>
      </c>
      <c r="P8" s="5">
        <v>32</v>
      </c>
      <c r="Q8" s="5">
        <f t="shared" si="16"/>
        <v>0.34042553191489361</v>
      </c>
      <c r="R8" s="5">
        <v>20</v>
      </c>
      <c r="S8" s="5">
        <f t="shared" si="17"/>
        <v>0.21276595744680851</v>
      </c>
      <c r="T8" s="5">
        <f t="shared" si="18"/>
        <v>81</v>
      </c>
      <c r="U8" s="5">
        <f t="shared" si="19"/>
        <v>0.86170212765957444</v>
      </c>
      <c r="V8" s="5">
        <v>59</v>
      </c>
      <c r="W8" s="5">
        <f t="shared" si="0"/>
        <v>0.62765957446808507</v>
      </c>
      <c r="X8" s="5">
        <v>22</v>
      </c>
      <c r="Y8" s="5">
        <f t="shared" si="1"/>
        <v>0.23404255319148937</v>
      </c>
      <c r="Z8" s="5">
        <f t="shared" si="20"/>
        <v>0.64197530864197527</v>
      </c>
      <c r="AA8" s="5">
        <v>23</v>
      </c>
      <c r="AB8" s="5">
        <f t="shared" si="2"/>
        <v>0.24468085106382978</v>
      </c>
      <c r="AC8" s="5">
        <v>22</v>
      </c>
      <c r="AD8" s="5">
        <f t="shared" si="3"/>
        <v>0.23404255319148937</v>
      </c>
      <c r="AE8" s="5">
        <v>238</v>
      </c>
      <c r="AF8" s="5">
        <f t="shared" si="4"/>
        <v>2.5319148936170213</v>
      </c>
      <c r="AG8" s="5">
        <v>272</v>
      </c>
      <c r="AH8" s="5">
        <f t="shared" si="5"/>
        <v>2.8936170212765959</v>
      </c>
      <c r="AI8" s="5">
        <v>178</v>
      </c>
      <c r="AJ8" s="5">
        <f t="shared" si="6"/>
        <v>1.8936170212765957</v>
      </c>
      <c r="AK8" s="5">
        <v>171</v>
      </c>
      <c r="AL8" s="5">
        <f t="shared" si="7"/>
        <v>1.8191489361702127</v>
      </c>
      <c r="AM8" s="5">
        <v>167</v>
      </c>
      <c r="AN8" s="5">
        <f t="shared" si="8"/>
        <v>1.7765957446808511</v>
      </c>
      <c r="AO8" s="5">
        <v>160</v>
      </c>
      <c r="AP8" s="5">
        <f t="shared" si="9"/>
        <v>1.7021276595744681</v>
      </c>
      <c r="AQ8" s="5">
        <v>122</v>
      </c>
      <c r="AR8" s="5">
        <f t="shared" si="10"/>
        <v>1.2978723404255319</v>
      </c>
      <c r="AS8" s="5">
        <v>137</v>
      </c>
      <c r="AT8" s="5">
        <f t="shared" si="11"/>
        <v>1.4574468085106382</v>
      </c>
      <c r="AU8" s="5">
        <v>197</v>
      </c>
      <c r="AV8" s="5">
        <f t="shared" si="12"/>
        <v>2.0957446808510638</v>
      </c>
      <c r="AW8" s="5">
        <v>232</v>
      </c>
      <c r="AX8" s="5">
        <f t="shared" si="13"/>
        <v>2.4680851063829787</v>
      </c>
      <c r="AY8" s="5">
        <f t="shared" si="21"/>
        <v>1.1067415730337078</v>
      </c>
      <c r="AZ8" s="5">
        <f t="shared" si="22"/>
        <v>1.3567251461988303</v>
      </c>
      <c r="BA8" s="5">
        <v>37.799999999999997</v>
      </c>
      <c r="BB8" s="5">
        <v>48.4</v>
      </c>
      <c r="BC8" s="5">
        <f t="shared" si="23"/>
        <v>21.900826446280995</v>
      </c>
      <c r="BD8" s="5">
        <v>36.173999999999999</v>
      </c>
      <c r="BE8" s="5">
        <v>1300</v>
      </c>
      <c r="BF8" s="5">
        <v>2033</v>
      </c>
      <c r="BG8" s="5">
        <v>862</v>
      </c>
      <c r="BH8" s="5">
        <f t="shared" si="24"/>
        <v>9.1702127659574462</v>
      </c>
      <c r="BI8" s="5">
        <v>85</v>
      </c>
      <c r="BJ8" s="5">
        <v>589</v>
      </c>
      <c r="BK8" s="5">
        <f t="shared" si="26"/>
        <v>6.2659574468085104</v>
      </c>
      <c r="BL8" s="5">
        <v>712</v>
      </c>
      <c r="BM8" s="5">
        <v>5</v>
      </c>
      <c r="BN8" s="5">
        <v>5</v>
      </c>
      <c r="BO8" s="5">
        <v>14.5</v>
      </c>
      <c r="BP8" s="5">
        <v>13</v>
      </c>
      <c r="BQ8" s="5">
        <v>16</v>
      </c>
      <c r="BR8" s="5"/>
      <c r="BS8" s="5"/>
      <c r="BT8" s="5">
        <v>6126.0846789999996</v>
      </c>
      <c r="BU8" s="5">
        <v>67.113680869999996</v>
      </c>
      <c r="BV8" s="5">
        <v>4.6699735499999999</v>
      </c>
      <c r="BW8" s="5">
        <v>64</v>
      </c>
      <c r="BX8" s="5">
        <v>30</v>
      </c>
      <c r="BY8" s="5">
        <v>5.85</v>
      </c>
      <c r="BZ8" s="5">
        <v>8.86</v>
      </c>
      <c r="CA8" s="5">
        <v>30</v>
      </c>
      <c r="CB8">
        <f t="shared" si="25"/>
        <v>7.3549999999999995</v>
      </c>
    </row>
    <row r="9" spans="1:80" x14ac:dyDescent="0.35">
      <c r="A9" s="3">
        <v>128</v>
      </c>
      <c r="B9" s="4" t="s">
        <v>21</v>
      </c>
      <c r="C9" s="4">
        <v>19</v>
      </c>
      <c r="D9" s="4">
        <v>85</v>
      </c>
      <c r="E9" s="4" t="s">
        <v>83</v>
      </c>
      <c r="F9" s="4" t="s">
        <v>86</v>
      </c>
      <c r="G9" s="4">
        <v>186</v>
      </c>
      <c r="H9" s="4">
        <v>84</v>
      </c>
      <c r="I9" s="4">
        <v>47</v>
      </c>
      <c r="J9" s="4">
        <v>11.03</v>
      </c>
      <c r="K9" s="5">
        <v>4</v>
      </c>
      <c r="L9" s="5">
        <v>4</v>
      </c>
      <c r="M9" s="5">
        <v>40</v>
      </c>
      <c r="N9" s="5">
        <f t="shared" si="14"/>
        <v>40</v>
      </c>
      <c r="O9" s="5">
        <f t="shared" si="15"/>
        <v>0.47619047619047616</v>
      </c>
      <c r="P9" s="5">
        <v>18</v>
      </c>
      <c r="Q9" s="5">
        <f t="shared" si="16"/>
        <v>0.21428571428571427</v>
      </c>
      <c r="R9" s="5">
        <v>22</v>
      </c>
      <c r="S9" s="5">
        <f t="shared" si="17"/>
        <v>0.26190476190476192</v>
      </c>
      <c r="T9" s="5">
        <f t="shared" si="18"/>
        <v>48</v>
      </c>
      <c r="U9" s="5">
        <f t="shared" si="19"/>
        <v>0.5714285714285714</v>
      </c>
      <c r="V9" s="5">
        <v>24</v>
      </c>
      <c r="W9" s="5">
        <f t="shared" si="0"/>
        <v>0.2857142857142857</v>
      </c>
      <c r="X9" s="5">
        <v>24</v>
      </c>
      <c r="Y9" s="5">
        <f t="shared" si="1"/>
        <v>0.2857142857142857</v>
      </c>
      <c r="Z9" s="5">
        <f t="shared" si="20"/>
        <v>0.83333333333333337</v>
      </c>
      <c r="AA9" s="5">
        <v>27</v>
      </c>
      <c r="AB9" s="5">
        <f t="shared" si="2"/>
        <v>0.32142857142857145</v>
      </c>
      <c r="AC9" s="5">
        <v>29</v>
      </c>
      <c r="AD9" s="5">
        <f t="shared" si="3"/>
        <v>0.34523809523809523</v>
      </c>
      <c r="AE9" s="5">
        <v>279</v>
      </c>
      <c r="AF9" s="5">
        <f t="shared" si="4"/>
        <v>3.3214285714285716</v>
      </c>
      <c r="AG9" s="5">
        <v>325</v>
      </c>
      <c r="AH9" s="5">
        <f t="shared" si="5"/>
        <v>3.8690476190476191</v>
      </c>
      <c r="AI9" s="5">
        <v>184</v>
      </c>
      <c r="AJ9" s="5">
        <f t="shared" si="6"/>
        <v>2.1904761904761907</v>
      </c>
      <c r="AK9" s="5">
        <v>219</v>
      </c>
      <c r="AL9" s="5">
        <f t="shared" si="7"/>
        <v>2.6071428571428572</v>
      </c>
      <c r="AM9" s="5">
        <v>145</v>
      </c>
      <c r="AN9" s="5">
        <f t="shared" si="8"/>
        <v>1.7261904761904763</v>
      </c>
      <c r="AO9" s="5">
        <v>157</v>
      </c>
      <c r="AP9" s="5">
        <f t="shared" si="9"/>
        <v>1.8690476190476191</v>
      </c>
      <c r="AQ9" s="5">
        <v>131</v>
      </c>
      <c r="AR9" s="5">
        <f t="shared" si="10"/>
        <v>1.5595238095238095</v>
      </c>
      <c r="AS9" s="5">
        <v>135</v>
      </c>
      <c r="AT9" s="5">
        <f t="shared" si="11"/>
        <v>1.6071428571428572</v>
      </c>
      <c r="AU9" s="5">
        <v>219</v>
      </c>
      <c r="AV9" s="5">
        <f t="shared" si="12"/>
        <v>2.6071428571428572</v>
      </c>
      <c r="AW9" s="5">
        <v>204</v>
      </c>
      <c r="AX9" s="5">
        <f t="shared" si="13"/>
        <v>2.4285714285714284</v>
      </c>
      <c r="AY9" s="5">
        <f t="shared" si="21"/>
        <v>1.1902173913043479</v>
      </c>
      <c r="AZ9" s="5">
        <f t="shared" si="22"/>
        <v>0.93150684931506844</v>
      </c>
      <c r="BA9" s="5">
        <v>30</v>
      </c>
      <c r="BB9" s="5">
        <v>30</v>
      </c>
      <c r="BC9" s="5">
        <f t="shared" si="23"/>
        <v>0</v>
      </c>
      <c r="BD9" s="5">
        <v>40</v>
      </c>
      <c r="BE9" s="5">
        <v>1027</v>
      </c>
      <c r="BF9" s="5">
        <v>1909</v>
      </c>
      <c r="BG9" s="5">
        <v>722</v>
      </c>
      <c r="BH9" s="5">
        <f t="shared" si="24"/>
        <v>8.5952380952380949</v>
      </c>
      <c r="BI9" s="5">
        <v>85</v>
      </c>
      <c r="BJ9" s="5">
        <v>553</v>
      </c>
      <c r="BK9" s="5">
        <f t="shared" si="26"/>
        <v>6.583333333333333</v>
      </c>
      <c r="BL9" s="5">
        <v>810</v>
      </c>
      <c r="BM9" s="5">
        <v>5</v>
      </c>
      <c r="BN9" s="5">
        <v>5</v>
      </c>
      <c r="BO9" s="5">
        <v>16</v>
      </c>
      <c r="BP9" s="5">
        <v>11</v>
      </c>
      <c r="BQ9" s="5">
        <v>14</v>
      </c>
      <c r="BR9" s="5"/>
      <c r="BS9" s="5"/>
      <c r="BT9" s="5">
        <v>10879.100179999999</v>
      </c>
      <c r="BU9" s="5">
        <v>1529.6420350000001</v>
      </c>
      <c r="BV9" s="5">
        <v>96.320136140000002</v>
      </c>
      <c r="BW9" s="5">
        <v>114</v>
      </c>
      <c r="BX9" s="5">
        <v>94</v>
      </c>
      <c r="BY9" s="5">
        <v>6.8</v>
      </c>
      <c r="BZ9" s="5">
        <v>7.8730000000000002</v>
      </c>
      <c r="CA9" s="5">
        <v>34.39</v>
      </c>
      <c r="CB9">
        <f t="shared" si="25"/>
        <v>7.3365</v>
      </c>
    </row>
    <row r="10" spans="1:80" x14ac:dyDescent="0.35">
      <c r="A10" s="3">
        <v>133</v>
      </c>
      <c r="B10" s="4" t="s">
        <v>22</v>
      </c>
      <c r="C10" s="4">
        <v>23</v>
      </c>
      <c r="D10" s="4">
        <v>3</v>
      </c>
      <c r="E10" s="4" t="s">
        <v>82</v>
      </c>
      <c r="F10" s="4" t="s">
        <v>86</v>
      </c>
      <c r="G10" s="4">
        <v>187</v>
      </c>
      <c r="H10" s="4">
        <v>82</v>
      </c>
      <c r="I10" s="4">
        <v>52</v>
      </c>
      <c r="J10" s="4">
        <v>11.91</v>
      </c>
      <c r="K10" s="5">
        <v>16</v>
      </c>
      <c r="L10" s="5">
        <v>14</v>
      </c>
      <c r="M10" s="5">
        <v>38</v>
      </c>
      <c r="N10" s="5">
        <f t="shared" si="14"/>
        <v>61</v>
      </c>
      <c r="O10" s="5">
        <f t="shared" si="15"/>
        <v>0.74390243902439024</v>
      </c>
      <c r="P10" s="5">
        <v>31</v>
      </c>
      <c r="Q10" s="5">
        <f t="shared" si="16"/>
        <v>0.37804878048780488</v>
      </c>
      <c r="R10" s="5">
        <v>30</v>
      </c>
      <c r="S10" s="5">
        <f t="shared" si="17"/>
        <v>0.36585365853658536</v>
      </c>
      <c r="T10" s="5">
        <f t="shared" si="18"/>
        <v>84</v>
      </c>
      <c r="U10" s="5">
        <f t="shared" si="19"/>
        <v>1.024390243902439</v>
      </c>
      <c r="V10" s="5">
        <v>59</v>
      </c>
      <c r="W10" s="5">
        <f t="shared" si="0"/>
        <v>0.71951219512195119</v>
      </c>
      <c r="X10" s="5">
        <v>25</v>
      </c>
      <c r="Y10" s="5">
        <f t="shared" si="1"/>
        <v>0.3048780487804878</v>
      </c>
      <c r="Z10" s="5">
        <f t="shared" si="20"/>
        <v>0.72619047619047616</v>
      </c>
      <c r="AA10" s="5">
        <v>39</v>
      </c>
      <c r="AB10" s="5">
        <f t="shared" si="2"/>
        <v>0.47560975609756095</v>
      </c>
      <c r="AC10" s="5">
        <v>33</v>
      </c>
      <c r="AD10" s="5">
        <f t="shared" si="3"/>
        <v>0.40243902439024393</v>
      </c>
      <c r="AE10" s="5">
        <v>260</v>
      </c>
      <c r="AF10" s="5">
        <f t="shared" si="4"/>
        <v>3.1707317073170733</v>
      </c>
      <c r="AG10" s="5">
        <v>276</v>
      </c>
      <c r="AH10" s="5">
        <f t="shared" si="5"/>
        <v>3.3658536585365852</v>
      </c>
      <c r="AI10" s="5">
        <v>190</v>
      </c>
      <c r="AJ10" s="5">
        <f t="shared" si="6"/>
        <v>2.3170731707317072</v>
      </c>
      <c r="AK10" s="5">
        <v>186</v>
      </c>
      <c r="AL10" s="5">
        <f t="shared" si="7"/>
        <v>2.2682926829268291</v>
      </c>
      <c r="AM10" s="5">
        <v>157</v>
      </c>
      <c r="AN10" s="5">
        <f t="shared" si="8"/>
        <v>1.9146341463414633</v>
      </c>
      <c r="AO10" s="5">
        <v>161</v>
      </c>
      <c r="AP10" s="5">
        <f t="shared" si="9"/>
        <v>1.9634146341463414</v>
      </c>
      <c r="AQ10" s="5">
        <v>133</v>
      </c>
      <c r="AR10" s="5">
        <f t="shared" si="10"/>
        <v>1.6219512195121952</v>
      </c>
      <c r="AS10" s="5">
        <v>129</v>
      </c>
      <c r="AT10" s="5">
        <f t="shared" si="11"/>
        <v>1.5731707317073171</v>
      </c>
      <c r="AU10" s="5">
        <v>178</v>
      </c>
      <c r="AV10" s="5">
        <f t="shared" si="12"/>
        <v>2.1707317073170733</v>
      </c>
      <c r="AW10" s="5">
        <v>186</v>
      </c>
      <c r="AX10" s="5">
        <f t="shared" si="13"/>
        <v>2.2682926829268291</v>
      </c>
      <c r="AY10" s="5">
        <f t="shared" si="21"/>
        <v>0.93684210526315792</v>
      </c>
      <c r="AZ10" s="5">
        <f t="shared" si="22"/>
        <v>1</v>
      </c>
      <c r="BA10" s="5">
        <v>33.9</v>
      </c>
      <c r="BB10" s="5">
        <v>40.1</v>
      </c>
      <c r="BC10" s="5">
        <f t="shared" si="23"/>
        <v>15.461346633416465</v>
      </c>
      <c r="BD10" s="5">
        <v>42.573999999999998</v>
      </c>
      <c r="BE10" s="5">
        <v>1350</v>
      </c>
      <c r="BF10" s="5">
        <v>1900</v>
      </c>
      <c r="BG10" s="5">
        <v>854</v>
      </c>
      <c r="BH10" s="5">
        <f t="shared" si="24"/>
        <v>10.414634146341463</v>
      </c>
      <c r="BI10" s="5"/>
      <c r="BJ10" s="5">
        <v>507</v>
      </c>
      <c r="BK10" s="5">
        <f t="shared" si="26"/>
        <v>6.1829268292682924</v>
      </c>
      <c r="BL10" s="5">
        <v>658</v>
      </c>
      <c r="BM10" s="5">
        <v>5</v>
      </c>
      <c r="BN10" s="5">
        <v>5</v>
      </c>
      <c r="BO10" s="5">
        <v>16</v>
      </c>
      <c r="BP10" s="5">
        <v>13</v>
      </c>
      <c r="BQ10" s="5">
        <v>17</v>
      </c>
      <c r="BR10" s="5">
        <v>1.9</v>
      </c>
      <c r="BS10" s="5"/>
      <c r="BT10" s="5">
        <v>11277.87953</v>
      </c>
      <c r="BU10" s="5">
        <v>1187.030953</v>
      </c>
      <c r="BV10" s="5">
        <v>27.81860292</v>
      </c>
      <c r="BW10" s="5">
        <v>107</v>
      </c>
      <c r="BX10" s="5">
        <v>114</v>
      </c>
      <c r="BY10" s="5">
        <v>6.42</v>
      </c>
      <c r="BZ10" s="5">
        <v>8.1</v>
      </c>
      <c r="CA10" s="5">
        <v>34.11</v>
      </c>
      <c r="CB10">
        <f t="shared" si="25"/>
        <v>7.26</v>
      </c>
    </row>
    <row r="11" spans="1:80" x14ac:dyDescent="0.35">
      <c r="A11" s="3">
        <v>136</v>
      </c>
      <c r="B11" s="4" t="s">
        <v>23</v>
      </c>
      <c r="C11" s="4">
        <v>22</v>
      </c>
      <c r="D11" s="4">
        <v>30</v>
      </c>
      <c r="E11" s="4" t="s">
        <v>85</v>
      </c>
      <c r="F11" s="4" t="s">
        <v>86</v>
      </c>
      <c r="G11" s="4">
        <v>193</v>
      </c>
      <c r="H11" s="4">
        <v>81</v>
      </c>
      <c r="I11" s="4">
        <v>61</v>
      </c>
      <c r="J11" s="4">
        <v>12.53</v>
      </c>
      <c r="K11" s="5">
        <v>11</v>
      </c>
      <c r="L11" s="5">
        <v>10</v>
      </c>
      <c r="M11" s="5">
        <v>23</v>
      </c>
      <c r="N11" s="5">
        <f t="shared" si="14"/>
        <v>43</v>
      </c>
      <c r="O11" s="5">
        <f t="shared" si="15"/>
        <v>0.53086419753086422</v>
      </c>
      <c r="P11" s="5">
        <v>22</v>
      </c>
      <c r="Q11" s="5">
        <f t="shared" si="16"/>
        <v>0.27160493827160492</v>
      </c>
      <c r="R11" s="5">
        <v>21</v>
      </c>
      <c r="S11" s="5">
        <f t="shared" si="17"/>
        <v>0.25925925925925924</v>
      </c>
      <c r="T11" s="5">
        <f t="shared" si="18"/>
        <v>81</v>
      </c>
      <c r="U11" s="5">
        <f t="shared" si="19"/>
        <v>1</v>
      </c>
      <c r="V11" s="5">
        <v>59</v>
      </c>
      <c r="W11" s="5">
        <f t="shared" si="0"/>
        <v>0.72839506172839508</v>
      </c>
      <c r="X11" s="5">
        <v>22</v>
      </c>
      <c r="Y11" s="5">
        <f t="shared" si="1"/>
        <v>0.27160493827160492</v>
      </c>
      <c r="Z11" s="5">
        <f t="shared" si="20"/>
        <v>0.53086419753086422</v>
      </c>
      <c r="AA11" s="5">
        <v>38</v>
      </c>
      <c r="AB11" s="5">
        <f t="shared" si="2"/>
        <v>0.46913580246913578</v>
      </c>
      <c r="AC11" s="5">
        <v>33</v>
      </c>
      <c r="AD11" s="5">
        <f t="shared" si="3"/>
        <v>0.40740740740740738</v>
      </c>
      <c r="AE11" s="5">
        <v>255</v>
      </c>
      <c r="AF11" s="5">
        <f t="shared" si="4"/>
        <v>3.1481481481481484</v>
      </c>
      <c r="AG11" s="5">
        <v>271</v>
      </c>
      <c r="AH11" s="5">
        <f t="shared" si="5"/>
        <v>3.3456790123456792</v>
      </c>
      <c r="AI11" s="5">
        <v>186</v>
      </c>
      <c r="AJ11" s="5">
        <f t="shared" si="6"/>
        <v>2.2962962962962963</v>
      </c>
      <c r="AK11" s="5">
        <v>183</v>
      </c>
      <c r="AL11" s="5">
        <f t="shared" si="7"/>
        <v>2.2592592592592591</v>
      </c>
      <c r="AM11" s="5">
        <v>153</v>
      </c>
      <c r="AN11" s="5">
        <f t="shared" si="8"/>
        <v>1.8888888888888888</v>
      </c>
      <c r="AO11" s="5">
        <v>157</v>
      </c>
      <c r="AP11" s="5">
        <f t="shared" si="9"/>
        <v>1.9382716049382716</v>
      </c>
      <c r="AQ11" s="5">
        <v>131</v>
      </c>
      <c r="AR11" s="5">
        <f t="shared" si="10"/>
        <v>1.617283950617284</v>
      </c>
      <c r="AS11" s="5">
        <v>127</v>
      </c>
      <c r="AT11" s="5">
        <f t="shared" si="11"/>
        <v>1.5679012345679013</v>
      </c>
      <c r="AU11" s="5">
        <v>174</v>
      </c>
      <c r="AV11" s="5">
        <f t="shared" si="12"/>
        <v>2.1481481481481484</v>
      </c>
      <c r="AW11" s="5">
        <v>182</v>
      </c>
      <c r="AX11" s="5">
        <f t="shared" si="13"/>
        <v>2.2469135802469138</v>
      </c>
      <c r="AY11" s="5">
        <f t="shared" si="21"/>
        <v>0.93548387096774188</v>
      </c>
      <c r="AZ11" s="5">
        <f t="shared" si="22"/>
        <v>0.99453551912568305</v>
      </c>
      <c r="BA11" s="5">
        <v>52.8</v>
      </c>
      <c r="BB11" s="5">
        <v>43.4</v>
      </c>
      <c r="BC11" s="5">
        <f t="shared" si="23"/>
        <v>17.803030303030301</v>
      </c>
      <c r="BD11" s="5">
        <v>42.174999999999997</v>
      </c>
      <c r="BE11" s="5">
        <v>1143</v>
      </c>
      <c r="BF11" s="5">
        <v>2087</v>
      </c>
      <c r="BG11" s="5">
        <v>754</v>
      </c>
      <c r="BH11" s="5">
        <f t="shared" si="24"/>
        <v>9.3086419753086425</v>
      </c>
      <c r="BI11" s="5">
        <v>75</v>
      </c>
      <c r="BJ11" s="5">
        <v>487</v>
      </c>
      <c r="BK11" s="5">
        <f t="shared" si="26"/>
        <v>6.0123456790123457</v>
      </c>
      <c r="BL11" s="5">
        <v>702</v>
      </c>
      <c r="BM11" s="5">
        <v>5</v>
      </c>
      <c r="BN11" s="5">
        <v>5</v>
      </c>
      <c r="BO11" s="5">
        <v>16</v>
      </c>
      <c r="BP11" s="5">
        <v>14</v>
      </c>
      <c r="BQ11" s="5">
        <v>16</v>
      </c>
      <c r="BR11" s="5">
        <v>1.88</v>
      </c>
      <c r="BS11" s="5"/>
      <c r="BT11" s="5">
        <v>11293.320400000001</v>
      </c>
      <c r="BU11" s="5">
        <v>650.98553519999996</v>
      </c>
      <c r="BV11" s="5">
        <v>2.59109912</v>
      </c>
      <c r="BW11" s="5">
        <v>85</v>
      </c>
      <c r="BX11" s="5">
        <v>110</v>
      </c>
      <c r="BY11" s="5">
        <v>5.6559900000000001</v>
      </c>
      <c r="BZ11" s="5">
        <v>6.79</v>
      </c>
      <c r="CA11" s="5">
        <v>34.799999999999997</v>
      </c>
      <c r="CB11">
        <f t="shared" si="25"/>
        <v>6.2229950000000001</v>
      </c>
    </row>
    <row r="12" spans="1:80" x14ac:dyDescent="0.35">
      <c r="A12" s="3">
        <v>1</v>
      </c>
      <c r="B12" s="4" t="s">
        <v>24</v>
      </c>
      <c r="C12" s="4">
        <v>28</v>
      </c>
      <c r="D12" s="4">
        <v>2</v>
      </c>
      <c r="E12" s="4" t="s">
        <v>82</v>
      </c>
      <c r="F12" s="4" t="s">
        <v>86</v>
      </c>
      <c r="G12" s="4">
        <v>189</v>
      </c>
      <c r="H12" s="4">
        <v>83</v>
      </c>
      <c r="I12" s="4">
        <v>50</v>
      </c>
      <c r="J12" s="4">
        <v>12.32</v>
      </c>
      <c r="K12" s="5">
        <v>10</v>
      </c>
      <c r="L12" s="5">
        <v>12</v>
      </c>
      <c r="M12" s="5">
        <v>22</v>
      </c>
      <c r="N12" s="5">
        <f t="shared" si="14"/>
        <v>48</v>
      </c>
      <c r="O12" s="5">
        <f t="shared" si="15"/>
        <v>0.57831325301204817</v>
      </c>
      <c r="P12" s="5">
        <v>23</v>
      </c>
      <c r="Q12" s="5">
        <f t="shared" si="16"/>
        <v>0.27710843373493976</v>
      </c>
      <c r="R12" s="5">
        <v>25</v>
      </c>
      <c r="S12" s="5">
        <f t="shared" si="17"/>
        <v>0.30120481927710846</v>
      </c>
      <c r="T12" s="5">
        <f t="shared" si="18"/>
        <v>53</v>
      </c>
      <c r="U12" s="5">
        <f t="shared" si="19"/>
        <v>0.63855421686746983</v>
      </c>
      <c r="V12" s="5">
        <v>28</v>
      </c>
      <c r="W12" s="5">
        <f t="shared" si="0"/>
        <v>0.33734939759036142</v>
      </c>
      <c r="X12" s="5">
        <v>25</v>
      </c>
      <c r="Y12" s="5">
        <f t="shared" si="1"/>
        <v>0.30120481927710846</v>
      </c>
      <c r="Z12" s="5">
        <f t="shared" si="20"/>
        <v>0.90566037735849059</v>
      </c>
      <c r="AA12" s="5">
        <v>16</v>
      </c>
      <c r="AB12" s="5">
        <f t="shared" si="2"/>
        <v>0.19277108433734941</v>
      </c>
      <c r="AC12" s="5">
        <v>17</v>
      </c>
      <c r="AD12" s="5">
        <f t="shared" si="3"/>
        <v>0.20481927710843373</v>
      </c>
      <c r="AE12" s="5">
        <v>225</v>
      </c>
      <c r="AF12" s="5">
        <f t="shared" si="4"/>
        <v>2.7108433734939759</v>
      </c>
      <c r="AG12" s="5">
        <v>281</v>
      </c>
      <c r="AH12" s="5">
        <f t="shared" si="5"/>
        <v>3.3855421686746987</v>
      </c>
      <c r="AI12" s="5">
        <v>176</v>
      </c>
      <c r="AJ12" s="5">
        <f t="shared" si="6"/>
        <v>2.1204819277108435</v>
      </c>
      <c r="AK12" s="5">
        <v>182</v>
      </c>
      <c r="AL12" s="5">
        <f t="shared" si="7"/>
        <v>2.1927710843373496</v>
      </c>
      <c r="AM12" s="5">
        <v>141</v>
      </c>
      <c r="AN12" s="5">
        <f t="shared" si="8"/>
        <v>1.6987951807228916</v>
      </c>
      <c r="AO12" s="5">
        <v>129</v>
      </c>
      <c r="AP12" s="5">
        <f t="shared" si="9"/>
        <v>1.5542168674698795</v>
      </c>
      <c r="AQ12" s="5">
        <v>128</v>
      </c>
      <c r="AR12" s="5">
        <f t="shared" si="10"/>
        <v>1.5421686746987953</v>
      </c>
      <c r="AS12" s="5">
        <v>106</v>
      </c>
      <c r="AT12" s="5">
        <f t="shared" si="11"/>
        <v>1.2771084337349397</v>
      </c>
      <c r="AU12" s="5">
        <v>167</v>
      </c>
      <c r="AV12" s="5">
        <f t="shared" si="12"/>
        <v>2.0120481927710845</v>
      </c>
      <c r="AW12" s="5">
        <v>201</v>
      </c>
      <c r="AX12" s="5">
        <f t="shared" si="13"/>
        <v>2.4216867469879517</v>
      </c>
      <c r="AY12" s="5">
        <f t="shared" si="21"/>
        <v>0.94886363636363635</v>
      </c>
      <c r="AZ12" s="5">
        <f t="shared" si="22"/>
        <v>1.1043956043956045</v>
      </c>
      <c r="BA12" s="5">
        <v>30</v>
      </c>
      <c r="BB12" s="5">
        <v>30</v>
      </c>
      <c r="BC12" s="5">
        <f t="shared" si="23"/>
        <v>0</v>
      </c>
      <c r="BD12" s="5">
        <v>40</v>
      </c>
      <c r="BE12" s="5">
        <v>1113</v>
      </c>
      <c r="BF12" s="5">
        <v>1900</v>
      </c>
      <c r="BG12" s="5"/>
      <c r="BH12" s="5">
        <f t="shared" si="24"/>
        <v>0</v>
      </c>
      <c r="BI12" s="5"/>
      <c r="BJ12" s="5">
        <v>375</v>
      </c>
      <c r="BK12" s="5">
        <f t="shared" si="26"/>
        <v>4.5180722891566267</v>
      </c>
      <c r="BL12" s="5">
        <v>743</v>
      </c>
      <c r="BM12" s="5">
        <v>5</v>
      </c>
      <c r="BN12" s="5">
        <v>5</v>
      </c>
      <c r="BO12" s="5">
        <v>16</v>
      </c>
      <c r="BP12" s="5">
        <v>12</v>
      </c>
      <c r="BQ12" s="5">
        <v>15</v>
      </c>
      <c r="BR12" s="5"/>
      <c r="BS12" s="5"/>
      <c r="BT12" s="5">
        <v>9754.8976980000007</v>
      </c>
      <c r="BU12" s="5">
        <v>822.01387550000004</v>
      </c>
      <c r="BV12" s="5">
        <v>14.471385079999999</v>
      </c>
      <c r="BW12" s="5">
        <v>111</v>
      </c>
      <c r="BX12" s="5">
        <v>106</v>
      </c>
      <c r="BY12" s="5">
        <v>6.8724400000000001</v>
      </c>
      <c r="BZ12" s="5">
        <v>7.59</v>
      </c>
      <c r="CA12" s="5">
        <v>36.5</v>
      </c>
      <c r="CB12">
        <f t="shared" si="25"/>
        <v>7.2312200000000004</v>
      </c>
    </row>
    <row r="13" spans="1:80" x14ac:dyDescent="0.35">
      <c r="A13" s="3">
        <v>13</v>
      </c>
      <c r="B13" s="4" t="s">
        <v>25</v>
      </c>
      <c r="C13" s="4">
        <v>24</v>
      </c>
      <c r="D13" s="4">
        <v>17</v>
      </c>
      <c r="E13" s="4" t="s">
        <v>83</v>
      </c>
      <c r="F13" s="4" t="s">
        <v>86</v>
      </c>
      <c r="G13" s="4">
        <v>179</v>
      </c>
      <c r="H13" s="4">
        <v>72</v>
      </c>
      <c r="I13" s="4">
        <v>38</v>
      </c>
      <c r="J13" s="4">
        <v>9.07</v>
      </c>
      <c r="K13" s="5">
        <v>8</v>
      </c>
      <c r="L13" s="5">
        <v>10</v>
      </c>
      <c r="M13" s="5">
        <v>38</v>
      </c>
      <c r="N13" s="5">
        <f t="shared" si="14"/>
        <v>40</v>
      </c>
      <c r="O13" s="5">
        <f t="shared" si="15"/>
        <v>0.55555555555555558</v>
      </c>
      <c r="P13" s="5">
        <v>19</v>
      </c>
      <c r="Q13" s="5">
        <f t="shared" si="16"/>
        <v>0.2638888888888889</v>
      </c>
      <c r="R13" s="5">
        <v>21</v>
      </c>
      <c r="S13" s="5">
        <f t="shared" si="17"/>
        <v>0.29166666666666669</v>
      </c>
      <c r="T13" s="5">
        <f t="shared" si="18"/>
        <v>35</v>
      </c>
      <c r="U13" s="5">
        <f t="shared" si="19"/>
        <v>0.4861111111111111</v>
      </c>
      <c r="V13" s="5">
        <v>18</v>
      </c>
      <c r="W13" s="5">
        <f t="shared" si="0"/>
        <v>0.25</v>
      </c>
      <c r="X13" s="5">
        <v>17</v>
      </c>
      <c r="Y13" s="5">
        <f t="shared" si="1"/>
        <v>0.2361111111111111</v>
      </c>
      <c r="Z13" s="5">
        <f t="shared" si="20"/>
        <v>1.1428571428571428</v>
      </c>
      <c r="AA13" s="5">
        <v>32</v>
      </c>
      <c r="AB13" s="5">
        <f t="shared" si="2"/>
        <v>0.44444444444444442</v>
      </c>
      <c r="AC13" s="5">
        <v>34</v>
      </c>
      <c r="AD13" s="5">
        <f t="shared" si="3"/>
        <v>0.47222222222222221</v>
      </c>
      <c r="AE13" s="5">
        <v>230</v>
      </c>
      <c r="AF13" s="5">
        <f t="shared" si="4"/>
        <v>3.1944444444444446</v>
      </c>
      <c r="AG13" s="5">
        <v>245</v>
      </c>
      <c r="AH13" s="5">
        <f t="shared" si="5"/>
        <v>3.4027777777777777</v>
      </c>
      <c r="AI13" s="5">
        <v>168</v>
      </c>
      <c r="AJ13" s="5">
        <f t="shared" si="6"/>
        <v>2.3333333333333335</v>
      </c>
      <c r="AK13" s="5">
        <v>165</v>
      </c>
      <c r="AL13" s="5">
        <f t="shared" si="7"/>
        <v>2.2916666666666665</v>
      </c>
      <c r="AM13" s="5">
        <v>139</v>
      </c>
      <c r="AN13" s="5">
        <f t="shared" si="8"/>
        <v>1.9305555555555556</v>
      </c>
      <c r="AO13" s="5">
        <v>142</v>
      </c>
      <c r="AP13" s="5">
        <f t="shared" si="9"/>
        <v>1.9722222222222223</v>
      </c>
      <c r="AQ13" s="5">
        <v>118</v>
      </c>
      <c r="AR13" s="5">
        <f t="shared" si="10"/>
        <v>1.6388888888888888</v>
      </c>
      <c r="AS13" s="5">
        <v>114</v>
      </c>
      <c r="AT13" s="5">
        <f t="shared" si="11"/>
        <v>1.5833333333333333</v>
      </c>
      <c r="AU13" s="5">
        <v>157</v>
      </c>
      <c r="AV13" s="5">
        <f t="shared" si="12"/>
        <v>2.1805555555555554</v>
      </c>
      <c r="AW13" s="5">
        <v>165</v>
      </c>
      <c r="AX13" s="5">
        <f t="shared" si="13"/>
        <v>2.2916666666666665</v>
      </c>
      <c r="AY13" s="5">
        <f t="shared" si="21"/>
        <v>0.93452380952380953</v>
      </c>
      <c r="AZ13" s="5">
        <f t="shared" si="22"/>
        <v>1</v>
      </c>
      <c r="BA13" s="5">
        <v>53.1</v>
      </c>
      <c r="BB13" s="5">
        <v>47.8</v>
      </c>
      <c r="BC13" s="5">
        <f t="shared" si="23"/>
        <v>9.9811676082862615</v>
      </c>
      <c r="BD13" s="5">
        <v>42.368000000000002</v>
      </c>
      <c r="BE13" s="5">
        <v>1344</v>
      </c>
      <c r="BF13" s="5">
        <v>1900</v>
      </c>
      <c r="BG13" s="5">
        <v>834</v>
      </c>
      <c r="BH13" s="5">
        <f t="shared" si="24"/>
        <v>11.583333333333334</v>
      </c>
      <c r="BI13" s="5"/>
      <c r="BJ13" s="5">
        <v>387</v>
      </c>
      <c r="BK13" s="5">
        <f t="shared" si="26"/>
        <v>5.375</v>
      </c>
      <c r="BL13" s="5">
        <v>641</v>
      </c>
      <c r="BM13" s="5">
        <v>5</v>
      </c>
      <c r="BN13" s="5">
        <v>5</v>
      </c>
      <c r="BO13" s="7">
        <v>16</v>
      </c>
      <c r="BP13" s="5">
        <v>13</v>
      </c>
      <c r="BQ13" s="5">
        <v>16</v>
      </c>
      <c r="BR13" s="5">
        <v>1.78</v>
      </c>
      <c r="BS13" s="5"/>
      <c r="BT13" s="5">
        <v>12816.85716</v>
      </c>
      <c r="BU13" s="5">
        <v>1394.8326669999999</v>
      </c>
      <c r="BV13" s="5">
        <v>258.95782370000001</v>
      </c>
      <c r="BW13" s="5">
        <v>128</v>
      </c>
      <c r="BX13" s="5">
        <v>121</v>
      </c>
      <c r="BY13" s="5">
        <v>6.6821900000000003</v>
      </c>
      <c r="BZ13" s="5">
        <v>8.4403199999999998</v>
      </c>
      <c r="CA13" s="5">
        <v>34.020000000000003</v>
      </c>
      <c r="CB13">
        <f t="shared" si="25"/>
        <v>7.5612550000000001</v>
      </c>
    </row>
    <row r="14" spans="1:80" x14ac:dyDescent="0.35">
      <c r="A14" s="3">
        <v>139</v>
      </c>
      <c r="B14" s="4" t="s">
        <v>26</v>
      </c>
      <c r="C14" s="4">
        <v>19</v>
      </c>
      <c r="D14" s="4">
        <v>87</v>
      </c>
      <c r="E14" s="4" t="s">
        <v>85</v>
      </c>
      <c r="F14" s="4" t="s">
        <v>86</v>
      </c>
      <c r="G14" s="4">
        <v>178</v>
      </c>
      <c r="H14" s="4">
        <v>64</v>
      </c>
      <c r="I14" s="4">
        <v>41.5</v>
      </c>
      <c r="J14" s="4">
        <v>8.8000000000000007</v>
      </c>
      <c r="K14" s="5">
        <v>12</v>
      </c>
      <c r="L14" s="5">
        <v>12</v>
      </c>
      <c r="M14" s="5">
        <v>19</v>
      </c>
      <c r="N14" s="5">
        <f t="shared" si="14"/>
        <v>29</v>
      </c>
      <c r="O14" s="5">
        <f t="shared" si="15"/>
        <v>0.453125</v>
      </c>
      <c r="P14" s="5">
        <v>15</v>
      </c>
      <c r="Q14" s="5">
        <f t="shared" si="16"/>
        <v>0.234375</v>
      </c>
      <c r="R14" s="5">
        <v>14</v>
      </c>
      <c r="S14" s="5">
        <f t="shared" si="17"/>
        <v>0.21875</v>
      </c>
      <c r="T14" s="5">
        <f t="shared" si="18"/>
        <v>34</v>
      </c>
      <c r="U14" s="5">
        <f t="shared" si="19"/>
        <v>0.53125</v>
      </c>
      <c r="V14" s="5">
        <v>18</v>
      </c>
      <c r="W14" s="5">
        <f t="shared" si="0"/>
        <v>0.28125</v>
      </c>
      <c r="X14" s="5">
        <v>16</v>
      </c>
      <c r="Y14" s="5">
        <f t="shared" si="1"/>
        <v>0.25</v>
      </c>
      <c r="Z14" s="5">
        <f t="shared" si="20"/>
        <v>0.8529411764705882</v>
      </c>
      <c r="AA14" s="5">
        <v>27</v>
      </c>
      <c r="AB14" s="5">
        <f t="shared" si="2"/>
        <v>0.421875</v>
      </c>
      <c r="AC14" s="5">
        <v>31</v>
      </c>
      <c r="AD14" s="5">
        <f t="shared" si="3"/>
        <v>0.484375</v>
      </c>
      <c r="AE14" s="5">
        <v>179</v>
      </c>
      <c r="AF14" s="5">
        <f t="shared" si="4"/>
        <v>2.796875</v>
      </c>
      <c r="AG14" s="5">
        <v>202</v>
      </c>
      <c r="AH14" s="5">
        <f t="shared" si="5"/>
        <v>3.15625</v>
      </c>
      <c r="AI14" s="5">
        <v>105</v>
      </c>
      <c r="AJ14" s="5">
        <f t="shared" si="6"/>
        <v>1.640625</v>
      </c>
      <c r="AK14" s="5">
        <v>110</v>
      </c>
      <c r="AL14" s="5">
        <f t="shared" si="7"/>
        <v>1.71875</v>
      </c>
      <c r="AM14" s="5">
        <v>111</v>
      </c>
      <c r="AN14" s="5">
        <f t="shared" si="8"/>
        <v>1.734375</v>
      </c>
      <c r="AO14" s="5">
        <v>114</v>
      </c>
      <c r="AP14" s="5">
        <f t="shared" si="9"/>
        <v>1.78125</v>
      </c>
      <c r="AQ14" s="5">
        <v>105</v>
      </c>
      <c r="AR14" s="5">
        <f t="shared" si="10"/>
        <v>1.640625</v>
      </c>
      <c r="AS14" s="5">
        <v>92</v>
      </c>
      <c r="AT14" s="5">
        <f t="shared" si="11"/>
        <v>1.4375</v>
      </c>
      <c r="AU14" s="5">
        <v>126</v>
      </c>
      <c r="AV14" s="5">
        <f t="shared" si="12"/>
        <v>1.96875</v>
      </c>
      <c r="AW14" s="5">
        <v>132</v>
      </c>
      <c r="AX14" s="5">
        <f t="shared" si="13"/>
        <v>2.0625</v>
      </c>
      <c r="AY14" s="5">
        <f t="shared" si="21"/>
        <v>1.2</v>
      </c>
      <c r="AZ14" s="5">
        <f t="shared" si="22"/>
        <v>1.2</v>
      </c>
      <c r="BA14" s="5">
        <v>48.8</v>
      </c>
      <c r="BB14" s="5">
        <v>40</v>
      </c>
      <c r="BC14" s="5">
        <f t="shared" si="23"/>
        <v>18.032786885245898</v>
      </c>
      <c r="BD14" s="5">
        <v>45.594999999999999</v>
      </c>
      <c r="BE14" s="5">
        <v>1239.93333333333</v>
      </c>
      <c r="BF14" s="5">
        <v>2051</v>
      </c>
      <c r="BG14" s="5">
        <v>837</v>
      </c>
      <c r="BH14" s="5">
        <f t="shared" si="24"/>
        <v>13.078125</v>
      </c>
      <c r="BI14" s="5">
        <v>70</v>
      </c>
      <c r="BJ14" s="5">
        <v>375</v>
      </c>
      <c r="BK14" s="5">
        <f t="shared" si="26"/>
        <v>5.859375</v>
      </c>
      <c r="BL14" s="5">
        <v>621</v>
      </c>
      <c r="BM14" s="5">
        <v>5</v>
      </c>
      <c r="BN14" s="5">
        <v>5</v>
      </c>
      <c r="BO14" s="5">
        <v>16</v>
      </c>
      <c r="BP14" s="5">
        <v>11</v>
      </c>
      <c r="BQ14" s="5">
        <v>14</v>
      </c>
      <c r="BR14" s="5">
        <v>1.67</v>
      </c>
      <c r="BS14" s="5"/>
      <c r="BT14" s="5">
        <v>10763.597390000001</v>
      </c>
      <c r="BU14" s="5">
        <v>805.50923690000002</v>
      </c>
      <c r="BV14" s="5">
        <v>19.69150904</v>
      </c>
      <c r="BW14" s="5">
        <v>110</v>
      </c>
      <c r="BX14" s="5">
        <v>130</v>
      </c>
      <c r="BY14" s="5">
        <v>6.75129</v>
      </c>
      <c r="BZ14" s="5">
        <v>8.59</v>
      </c>
      <c r="CA14" s="5">
        <v>34.6</v>
      </c>
      <c r="CB14">
        <f t="shared" si="25"/>
        <v>7.6706450000000004</v>
      </c>
    </row>
    <row r="15" spans="1:80" x14ac:dyDescent="0.35">
      <c r="A15" s="3">
        <v>3</v>
      </c>
      <c r="B15" s="4" t="s">
        <v>27</v>
      </c>
      <c r="C15" s="4">
        <v>26</v>
      </c>
      <c r="D15" s="4">
        <v>4</v>
      </c>
      <c r="E15" s="4" t="s">
        <v>82</v>
      </c>
      <c r="F15" s="4" t="s">
        <v>86</v>
      </c>
      <c r="G15" s="4">
        <v>181.3</v>
      </c>
      <c r="H15" s="4">
        <v>82</v>
      </c>
      <c r="I15" s="4">
        <v>58</v>
      </c>
      <c r="J15" s="4">
        <v>12.32</v>
      </c>
      <c r="K15" s="5">
        <v>12</v>
      </c>
      <c r="L15" s="5">
        <v>12</v>
      </c>
      <c r="M15" s="5">
        <v>37</v>
      </c>
      <c r="N15" s="5">
        <f t="shared" si="14"/>
        <v>50</v>
      </c>
      <c r="O15" s="5">
        <f t="shared" si="15"/>
        <v>0.6097560975609756</v>
      </c>
      <c r="P15" s="5">
        <v>22</v>
      </c>
      <c r="Q15" s="5">
        <f t="shared" si="16"/>
        <v>0.26829268292682928</v>
      </c>
      <c r="R15" s="5">
        <v>28</v>
      </c>
      <c r="S15" s="5">
        <f t="shared" si="17"/>
        <v>0.34146341463414637</v>
      </c>
      <c r="T15" s="5">
        <f t="shared" si="18"/>
        <v>83</v>
      </c>
      <c r="U15" s="5">
        <f t="shared" si="19"/>
        <v>1.0121951219512195</v>
      </c>
      <c r="V15" s="5">
        <v>52</v>
      </c>
      <c r="W15" s="5">
        <f t="shared" si="0"/>
        <v>0.63414634146341464</v>
      </c>
      <c r="X15" s="5">
        <v>31</v>
      </c>
      <c r="Y15" s="5">
        <f t="shared" si="1"/>
        <v>0.37804878048780488</v>
      </c>
      <c r="Z15" s="5">
        <f t="shared" si="20"/>
        <v>0.60240963855421692</v>
      </c>
      <c r="AA15" s="5">
        <v>45</v>
      </c>
      <c r="AB15" s="5">
        <f t="shared" si="2"/>
        <v>0.54878048780487809</v>
      </c>
      <c r="AC15" s="5">
        <v>44</v>
      </c>
      <c r="AD15" s="5">
        <f t="shared" si="3"/>
        <v>0.53658536585365857</v>
      </c>
      <c r="AE15" s="5">
        <v>256</v>
      </c>
      <c r="AF15" s="5">
        <f t="shared" si="4"/>
        <v>3.1219512195121952</v>
      </c>
      <c r="AG15" s="5">
        <v>235</v>
      </c>
      <c r="AH15" s="5">
        <f t="shared" si="5"/>
        <v>2.8658536585365852</v>
      </c>
      <c r="AI15" s="5">
        <v>164</v>
      </c>
      <c r="AJ15" s="5">
        <f t="shared" si="6"/>
        <v>2</v>
      </c>
      <c r="AK15" s="5">
        <v>152</v>
      </c>
      <c r="AL15" s="5">
        <f t="shared" si="7"/>
        <v>1.8536585365853659</v>
      </c>
      <c r="AM15" s="5">
        <v>170</v>
      </c>
      <c r="AN15" s="5">
        <f t="shared" si="8"/>
        <v>2.0731707317073171</v>
      </c>
      <c r="AO15" s="5">
        <v>153</v>
      </c>
      <c r="AP15" s="5">
        <f t="shared" si="9"/>
        <v>1.8658536585365855</v>
      </c>
      <c r="AQ15" s="5">
        <v>137</v>
      </c>
      <c r="AR15" s="5">
        <f t="shared" si="10"/>
        <v>1.6707317073170731</v>
      </c>
      <c r="AS15" s="5">
        <v>124</v>
      </c>
      <c r="AT15" s="5">
        <f t="shared" si="11"/>
        <v>1.5121951219512195</v>
      </c>
      <c r="AU15" s="5">
        <v>239</v>
      </c>
      <c r="AV15" s="5">
        <f t="shared" si="12"/>
        <v>2.9146341463414633</v>
      </c>
      <c r="AW15" s="5">
        <v>219</v>
      </c>
      <c r="AX15" s="5">
        <f t="shared" si="13"/>
        <v>2.6707317073170733</v>
      </c>
      <c r="AY15" s="5">
        <f t="shared" si="21"/>
        <v>1.4573170731707317</v>
      </c>
      <c r="AZ15" s="5">
        <f t="shared" si="22"/>
        <v>1.4407894736842106</v>
      </c>
      <c r="BA15" s="5">
        <v>20.2</v>
      </c>
      <c r="BB15" s="5">
        <v>36.6</v>
      </c>
      <c r="BC15" s="5">
        <f t="shared" si="23"/>
        <v>44.808743169398909</v>
      </c>
      <c r="BD15" s="5">
        <v>37.9</v>
      </c>
      <c r="BE15" s="5">
        <v>1227</v>
      </c>
      <c r="BF15" s="5">
        <v>1900</v>
      </c>
      <c r="BG15" s="5">
        <v>962</v>
      </c>
      <c r="BH15" s="5">
        <f t="shared" si="24"/>
        <v>11.731707317073171</v>
      </c>
      <c r="BI15" s="5"/>
      <c r="BJ15" s="5">
        <v>565</v>
      </c>
      <c r="BK15" s="5">
        <f t="shared" si="26"/>
        <v>6.8902439024390247</v>
      </c>
      <c r="BL15" s="5">
        <v>763</v>
      </c>
      <c r="BM15" s="5">
        <v>5</v>
      </c>
      <c r="BN15" s="5">
        <v>5</v>
      </c>
      <c r="BO15" s="5">
        <v>17</v>
      </c>
      <c r="BP15" s="5">
        <v>13</v>
      </c>
      <c r="BQ15" s="5">
        <v>17</v>
      </c>
      <c r="BR15" s="5">
        <v>1.97</v>
      </c>
      <c r="BS15" s="5"/>
      <c r="BT15" s="5">
        <v>11005.01204</v>
      </c>
      <c r="BU15" s="5">
        <v>834.32181000000003</v>
      </c>
      <c r="BV15" s="5">
        <v>0</v>
      </c>
      <c r="BW15" s="5">
        <v>111</v>
      </c>
      <c r="BX15" s="5">
        <v>93</v>
      </c>
      <c r="BY15" s="5">
        <v>5.3650000000000002</v>
      </c>
      <c r="BZ15" s="5">
        <v>9.2680000000000007</v>
      </c>
      <c r="CA15" s="5">
        <v>33.6</v>
      </c>
      <c r="CB15">
        <f t="shared" si="25"/>
        <v>7.3165000000000004</v>
      </c>
    </row>
    <row r="16" spans="1:80" x14ac:dyDescent="0.35">
      <c r="A16" s="3">
        <v>7</v>
      </c>
      <c r="B16" s="4" t="s">
        <v>28</v>
      </c>
      <c r="C16" s="4">
        <v>23</v>
      </c>
      <c r="D16" s="4">
        <v>9</v>
      </c>
      <c r="E16" s="4" t="s">
        <v>83</v>
      </c>
      <c r="F16" s="4" t="s">
        <v>86</v>
      </c>
      <c r="G16" s="4">
        <v>180</v>
      </c>
      <c r="H16" s="4">
        <v>82</v>
      </c>
      <c r="I16" s="4">
        <v>56.5</v>
      </c>
      <c r="J16" s="4">
        <v>12.12</v>
      </c>
      <c r="K16" s="5">
        <v>9</v>
      </c>
      <c r="L16" s="5">
        <v>7</v>
      </c>
      <c r="M16" s="5">
        <v>19</v>
      </c>
      <c r="N16" s="5">
        <f t="shared" si="14"/>
        <v>44</v>
      </c>
      <c r="O16" s="5">
        <f t="shared" si="15"/>
        <v>0.53658536585365857</v>
      </c>
      <c r="P16" s="5">
        <v>23</v>
      </c>
      <c r="Q16" s="5">
        <f t="shared" si="16"/>
        <v>0.28048780487804881</v>
      </c>
      <c r="R16" s="5">
        <v>21</v>
      </c>
      <c r="S16" s="5">
        <f t="shared" si="17"/>
        <v>0.25609756097560976</v>
      </c>
      <c r="T16" s="5">
        <f t="shared" si="18"/>
        <v>60</v>
      </c>
      <c r="U16" s="5">
        <f t="shared" si="19"/>
        <v>0.73170731707317072</v>
      </c>
      <c r="V16" s="5">
        <v>44</v>
      </c>
      <c r="W16" s="5">
        <f t="shared" si="0"/>
        <v>0.53658536585365857</v>
      </c>
      <c r="X16" s="5">
        <v>16</v>
      </c>
      <c r="Y16" s="5">
        <f t="shared" si="1"/>
        <v>0.1951219512195122</v>
      </c>
      <c r="Z16" s="5">
        <f t="shared" si="20"/>
        <v>0.73333333333333328</v>
      </c>
      <c r="AA16" s="5">
        <v>39</v>
      </c>
      <c r="AB16" s="5">
        <f t="shared" si="2"/>
        <v>0.47560975609756095</v>
      </c>
      <c r="AC16" s="5">
        <v>39</v>
      </c>
      <c r="AD16" s="5">
        <f t="shared" si="3"/>
        <v>0.47560975609756095</v>
      </c>
      <c r="AE16" s="5">
        <v>234</v>
      </c>
      <c r="AF16" s="5">
        <f t="shared" si="4"/>
        <v>2.8536585365853657</v>
      </c>
      <c r="AG16" s="5">
        <v>232</v>
      </c>
      <c r="AH16" s="5">
        <f t="shared" si="5"/>
        <v>2.8292682926829267</v>
      </c>
      <c r="AI16" s="5">
        <v>204</v>
      </c>
      <c r="AJ16" s="5">
        <f t="shared" si="6"/>
        <v>2.4878048780487805</v>
      </c>
      <c r="AK16" s="5">
        <v>187</v>
      </c>
      <c r="AL16" s="5">
        <f t="shared" si="7"/>
        <v>2.2804878048780486</v>
      </c>
      <c r="AM16" s="5">
        <v>131</v>
      </c>
      <c r="AN16" s="5">
        <f t="shared" si="8"/>
        <v>1.5975609756097562</v>
      </c>
      <c r="AO16" s="5">
        <v>169</v>
      </c>
      <c r="AP16" s="5">
        <f t="shared" si="9"/>
        <v>2.0609756097560976</v>
      </c>
      <c r="AQ16" s="5">
        <v>121</v>
      </c>
      <c r="AR16" s="5">
        <f t="shared" si="10"/>
        <v>1.475609756097561</v>
      </c>
      <c r="AS16" s="5">
        <v>100</v>
      </c>
      <c r="AT16" s="5">
        <f t="shared" si="11"/>
        <v>1.2195121951219512</v>
      </c>
      <c r="AU16" s="5">
        <v>181</v>
      </c>
      <c r="AV16" s="5">
        <f t="shared" si="12"/>
        <v>2.2073170731707319</v>
      </c>
      <c r="AW16" s="5">
        <v>122</v>
      </c>
      <c r="AX16" s="5">
        <f t="shared" si="13"/>
        <v>1.4878048780487805</v>
      </c>
      <c r="AY16" s="5">
        <f t="shared" si="21"/>
        <v>0.88725490196078427</v>
      </c>
      <c r="AZ16" s="5">
        <f t="shared" si="22"/>
        <v>0.65240641711229952</v>
      </c>
      <c r="BA16" s="5">
        <v>30</v>
      </c>
      <c r="BB16" s="5">
        <v>30</v>
      </c>
      <c r="BC16" s="5">
        <f t="shared" si="23"/>
        <v>0</v>
      </c>
      <c r="BD16" s="5">
        <v>40</v>
      </c>
      <c r="BE16" s="5">
        <v>1158</v>
      </c>
      <c r="BF16" s="5">
        <v>1900</v>
      </c>
      <c r="BG16" s="5">
        <v>784</v>
      </c>
      <c r="BH16" s="5">
        <f t="shared" si="24"/>
        <v>9.5609756097560972</v>
      </c>
      <c r="BI16" s="5"/>
      <c r="BJ16" s="5">
        <v>375</v>
      </c>
      <c r="BK16" s="5">
        <f t="shared" si="26"/>
        <v>4.5731707317073171</v>
      </c>
      <c r="BL16" s="5">
        <v>741</v>
      </c>
      <c r="BM16" s="5">
        <v>5</v>
      </c>
      <c r="BN16" s="5">
        <v>5</v>
      </c>
      <c r="BO16" s="5">
        <v>16</v>
      </c>
      <c r="BP16" s="5">
        <v>14</v>
      </c>
      <c r="BQ16" s="5">
        <v>16</v>
      </c>
      <c r="BR16" s="5">
        <v>2.0299999999999998</v>
      </c>
      <c r="BS16" s="5"/>
      <c r="BT16" s="5">
        <v>11560.20414</v>
      </c>
      <c r="BU16" s="5">
        <v>1377.4849059999999</v>
      </c>
      <c r="BV16" s="5">
        <v>82.261144819999998</v>
      </c>
      <c r="BW16" s="5">
        <v>119</v>
      </c>
      <c r="BX16" s="5">
        <v>118</v>
      </c>
      <c r="BY16" s="5">
        <v>6.25</v>
      </c>
      <c r="BZ16" s="5">
        <v>7.585</v>
      </c>
      <c r="CA16" s="5">
        <v>33.5</v>
      </c>
      <c r="CB16">
        <f t="shared" si="25"/>
        <v>6.9175000000000004</v>
      </c>
    </row>
    <row r="17" spans="1:80" x14ac:dyDescent="0.35">
      <c r="A17" s="3">
        <v>138</v>
      </c>
      <c r="B17" s="4" t="s">
        <v>29</v>
      </c>
      <c r="C17" s="4">
        <v>25</v>
      </c>
      <c r="D17" s="4">
        <v>24</v>
      </c>
      <c r="E17" s="4" t="s">
        <v>85</v>
      </c>
      <c r="F17" s="4" t="s">
        <v>86</v>
      </c>
      <c r="G17" s="4">
        <v>188</v>
      </c>
      <c r="H17" s="4">
        <v>85</v>
      </c>
      <c r="I17" s="4">
        <v>54</v>
      </c>
      <c r="J17" s="4">
        <v>12.92</v>
      </c>
      <c r="K17" s="5">
        <v>8</v>
      </c>
      <c r="L17" s="5">
        <v>9</v>
      </c>
      <c r="M17" s="5">
        <v>33</v>
      </c>
      <c r="N17" s="5">
        <f t="shared" si="14"/>
        <v>52</v>
      </c>
      <c r="O17" s="5">
        <f t="shared" si="15"/>
        <v>0.61176470588235299</v>
      </c>
      <c r="P17" s="5">
        <v>26</v>
      </c>
      <c r="Q17" s="5">
        <f t="shared" si="16"/>
        <v>0.30588235294117649</v>
      </c>
      <c r="R17" s="5">
        <v>26</v>
      </c>
      <c r="S17" s="5">
        <f t="shared" si="17"/>
        <v>0.30588235294117649</v>
      </c>
      <c r="T17" s="5">
        <f t="shared" si="18"/>
        <v>77</v>
      </c>
      <c r="U17" s="5">
        <f t="shared" si="19"/>
        <v>0.90588235294117647</v>
      </c>
      <c r="V17" s="5">
        <v>50</v>
      </c>
      <c r="W17" s="5">
        <f t="shared" si="0"/>
        <v>0.58823529411764708</v>
      </c>
      <c r="X17" s="5">
        <v>27</v>
      </c>
      <c r="Y17" s="5">
        <f t="shared" si="1"/>
        <v>0.31764705882352939</v>
      </c>
      <c r="Z17" s="5">
        <f t="shared" si="20"/>
        <v>0.67532467532467533</v>
      </c>
      <c r="AA17" s="5">
        <v>35</v>
      </c>
      <c r="AB17" s="5">
        <f t="shared" si="2"/>
        <v>0.41176470588235292</v>
      </c>
      <c r="AC17" s="5">
        <v>34</v>
      </c>
      <c r="AD17" s="5">
        <f t="shared" si="3"/>
        <v>0.4</v>
      </c>
      <c r="AE17" s="5">
        <v>232</v>
      </c>
      <c r="AF17" s="5">
        <f t="shared" si="4"/>
        <v>2.7294117647058824</v>
      </c>
      <c r="AG17" s="5">
        <v>294</v>
      </c>
      <c r="AH17" s="5">
        <f t="shared" si="5"/>
        <v>3.4588235294117649</v>
      </c>
      <c r="AI17" s="5">
        <v>206</v>
      </c>
      <c r="AJ17" s="5">
        <f t="shared" si="6"/>
        <v>2.4235294117647057</v>
      </c>
      <c r="AK17" s="5">
        <v>198</v>
      </c>
      <c r="AL17" s="5">
        <f t="shared" si="7"/>
        <v>2.3294117647058825</v>
      </c>
      <c r="AM17" s="5">
        <v>166</v>
      </c>
      <c r="AN17" s="5">
        <f t="shared" si="8"/>
        <v>1.9529411764705882</v>
      </c>
      <c r="AO17" s="5">
        <v>171</v>
      </c>
      <c r="AP17" s="5">
        <f t="shared" si="9"/>
        <v>2.0117647058823529</v>
      </c>
      <c r="AQ17" s="5">
        <v>142</v>
      </c>
      <c r="AR17" s="5">
        <f t="shared" si="10"/>
        <v>1.6705882352941177</v>
      </c>
      <c r="AS17" s="5">
        <v>137</v>
      </c>
      <c r="AT17" s="5">
        <f t="shared" si="11"/>
        <v>1.611764705882353</v>
      </c>
      <c r="AU17" s="5">
        <v>189</v>
      </c>
      <c r="AV17" s="5">
        <f t="shared" si="12"/>
        <v>2.223529411764706</v>
      </c>
      <c r="AW17" s="5">
        <v>198</v>
      </c>
      <c r="AX17" s="5">
        <f t="shared" si="13"/>
        <v>2.3294117647058825</v>
      </c>
      <c r="AY17" s="5">
        <f t="shared" si="21"/>
        <v>0.91747572815533984</v>
      </c>
      <c r="AZ17" s="5">
        <f t="shared" si="22"/>
        <v>1</v>
      </c>
      <c r="BA17" s="5">
        <v>38</v>
      </c>
      <c r="BB17" s="5">
        <v>38</v>
      </c>
      <c r="BC17" s="5">
        <f t="shared" si="23"/>
        <v>0</v>
      </c>
      <c r="BD17" s="5">
        <v>40.973999999999997</v>
      </c>
      <c r="BE17" s="5">
        <v>1292</v>
      </c>
      <c r="BF17" s="5">
        <v>1900</v>
      </c>
      <c r="BG17" s="5">
        <v>803</v>
      </c>
      <c r="BH17" s="5">
        <f t="shared" si="24"/>
        <v>9.447058823529412</v>
      </c>
      <c r="BI17" s="5"/>
      <c r="BJ17" s="5">
        <v>492</v>
      </c>
      <c r="BK17" s="5">
        <f t="shared" si="26"/>
        <v>5.7882352941176469</v>
      </c>
      <c r="BL17" s="5">
        <v>724</v>
      </c>
      <c r="BM17" s="5">
        <v>5</v>
      </c>
      <c r="BN17" s="5">
        <v>5</v>
      </c>
      <c r="BO17" s="5">
        <v>16</v>
      </c>
      <c r="BP17" s="5">
        <v>12</v>
      </c>
      <c r="BQ17" s="5">
        <v>15</v>
      </c>
      <c r="BR17" s="5"/>
      <c r="BS17" s="5"/>
      <c r="BT17" s="5">
        <v>11767.31648</v>
      </c>
      <c r="BU17" s="5">
        <v>1225.906872</v>
      </c>
      <c r="BV17" s="5">
        <v>86.849462709999997</v>
      </c>
      <c r="BW17" s="5">
        <v>120</v>
      </c>
      <c r="BX17" s="5">
        <v>126</v>
      </c>
      <c r="BY17" s="5">
        <v>6.57</v>
      </c>
      <c r="BZ17" s="5">
        <v>7.05</v>
      </c>
      <c r="CA17" s="5">
        <v>34</v>
      </c>
      <c r="CB17">
        <f t="shared" si="25"/>
        <v>6.8100000000000005</v>
      </c>
    </row>
    <row r="18" spans="1:80" x14ac:dyDescent="0.35">
      <c r="A18" s="3">
        <v>150</v>
      </c>
      <c r="B18" s="4" t="s">
        <v>30</v>
      </c>
      <c r="C18" s="4">
        <v>38</v>
      </c>
      <c r="D18" s="4">
        <v>5</v>
      </c>
      <c r="E18" s="4" t="s">
        <v>82</v>
      </c>
      <c r="F18" s="4" t="s">
        <v>87</v>
      </c>
      <c r="G18" s="4">
        <v>190</v>
      </c>
      <c r="H18" s="4">
        <v>94</v>
      </c>
      <c r="I18" s="4">
        <v>71</v>
      </c>
      <c r="J18" s="4">
        <v>14.22</v>
      </c>
      <c r="K18" s="5">
        <v>9</v>
      </c>
      <c r="L18" s="5">
        <v>25</v>
      </c>
      <c r="M18" s="5">
        <v>20</v>
      </c>
      <c r="N18" s="5">
        <f t="shared" si="14"/>
        <v>40</v>
      </c>
      <c r="O18" s="5">
        <f t="shared" si="15"/>
        <v>0.42553191489361702</v>
      </c>
      <c r="P18" s="5">
        <v>20</v>
      </c>
      <c r="Q18" s="5">
        <f t="shared" si="16"/>
        <v>0.21276595744680851</v>
      </c>
      <c r="R18" s="5">
        <v>20</v>
      </c>
      <c r="S18" s="5">
        <f t="shared" si="17"/>
        <v>0.21276595744680851</v>
      </c>
      <c r="T18" s="5">
        <f t="shared" si="18"/>
        <v>107</v>
      </c>
      <c r="U18" s="5">
        <f t="shared" si="19"/>
        <v>1.1382978723404256</v>
      </c>
      <c r="V18" s="5">
        <v>67</v>
      </c>
      <c r="W18" s="5">
        <f t="shared" si="0"/>
        <v>0.71276595744680848</v>
      </c>
      <c r="X18" s="5">
        <v>40</v>
      </c>
      <c r="Y18" s="5">
        <f t="shared" si="1"/>
        <v>0.42553191489361702</v>
      </c>
      <c r="Z18" s="5">
        <f t="shared" si="20"/>
        <v>0.37383177570093457</v>
      </c>
      <c r="AA18" s="5">
        <v>41</v>
      </c>
      <c r="AB18" s="5">
        <f t="shared" si="2"/>
        <v>0.43617021276595747</v>
      </c>
      <c r="AC18" s="5">
        <v>36</v>
      </c>
      <c r="AD18" s="5">
        <f t="shared" si="3"/>
        <v>0.38297872340425532</v>
      </c>
      <c r="AE18" s="5">
        <v>276</v>
      </c>
      <c r="AF18" s="5">
        <f t="shared" si="4"/>
        <v>2.9361702127659575</v>
      </c>
      <c r="AG18" s="5">
        <v>294</v>
      </c>
      <c r="AH18" s="5">
        <f t="shared" si="5"/>
        <v>3.1276595744680851</v>
      </c>
      <c r="AI18" s="5">
        <v>202</v>
      </c>
      <c r="AJ18" s="5">
        <f t="shared" si="6"/>
        <v>2.1489361702127661</v>
      </c>
      <c r="AK18" s="5">
        <v>198</v>
      </c>
      <c r="AL18" s="5">
        <f t="shared" si="7"/>
        <v>2.1063829787234041</v>
      </c>
      <c r="AM18" s="5">
        <v>166</v>
      </c>
      <c r="AN18" s="5">
        <f t="shared" si="8"/>
        <v>1.7659574468085106</v>
      </c>
      <c r="AO18" s="5">
        <v>171</v>
      </c>
      <c r="AP18" s="5">
        <f t="shared" si="9"/>
        <v>1.8191489361702127</v>
      </c>
      <c r="AQ18" s="5">
        <v>142</v>
      </c>
      <c r="AR18" s="5">
        <f t="shared" si="10"/>
        <v>1.5106382978723405</v>
      </c>
      <c r="AS18" s="5">
        <v>137</v>
      </c>
      <c r="AT18" s="5">
        <f t="shared" si="11"/>
        <v>1.4574468085106382</v>
      </c>
      <c r="AU18" s="5">
        <v>189</v>
      </c>
      <c r="AV18" s="5">
        <f t="shared" si="12"/>
        <v>2.0106382978723403</v>
      </c>
      <c r="AW18" s="5">
        <v>198</v>
      </c>
      <c r="AX18" s="5">
        <f t="shared" si="13"/>
        <v>2.1063829787234041</v>
      </c>
      <c r="AY18" s="5">
        <f t="shared" si="21"/>
        <v>0.9356435643564357</v>
      </c>
      <c r="AZ18" s="5">
        <f t="shared" si="22"/>
        <v>1</v>
      </c>
      <c r="BA18" s="5">
        <v>32.4</v>
      </c>
      <c r="BB18" s="5">
        <v>31.3</v>
      </c>
      <c r="BC18" s="5">
        <f t="shared" si="23"/>
        <v>3.3950617283950555</v>
      </c>
      <c r="BD18" s="5">
        <v>36.473999999999997</v>
      </c>
      <c r="BE18" s="5">
        <v>1290.6666666666699</v>
      </c>
      <c r="BF18" s="5">
        <v>1900</v>
      </c>
      <c r="BG18" s="5">
        <v>619</v>
      </c>
      <c r="BH18" s="5">
        <f t="shared" si="24"/>
        <v>6.5851063829787231</v>
      </c>
      <c r="BI18" s="5"/>
      <c r="BJ18" s="5">
        <v>518</v>
      </c>
      <c r="BK18" s="5">
        <f t="shared" si="26"/>
        <v>5.5106382978723403</v>
      </c>
      <c r="BL18" s="5">
        <v>841</v>
      </c>
      <c r="BM18" s="5">
        <v>5</v>
      </c>
      <c r="BN18" s="5">
        <v>5</v>
      </c>
      <c r="BO18" s="5">
        <v>15.5</v>
      </c>
      <c r="BP18" s="5">
        <v>13</v>
      </c>
      <c r="BQ18" s="5">
        <v>16</v>
      </c>
      <c r="BR18" s="5">
        <v>1.82</v>
      </c>
      <c r="BS18" s="5"/>
      <c r="BT18" s="5">
        <v>10272.91856</v>
      </c>
      <c r="BU18" s="5">
        <v>669.83954640000002</v>
      </c>
      <c r="BV18" s="5">
        <v>71.141053920000004</v>
      </c>
      <c r="BW18" s="5">
        <v>67</v>
      </c>
      <c r="BX18" s="5">
        <v>77</v>
      </c>
      <c r="BY18" s="5">
        <v>6.21</v>
      </c>
      <c r="BZ18" s="5">
        <v>6.91</v>
      </c>
      <c r="CA18" s="5">
        <v>33.5</v>
      </c>
      <c r="CB18">
        <f t="shared" si="25"/>
        <v>6.5600000000000005</v>
      </c>
    </row>
    <row r="19" spans="1:80" x14ac:dyDescent="0.35">
      <c r="A19" s="3">
        <v>184</v>
      </c>
      <c r="B19" s="4" t="s">
        <v>31</v>
      </c>
      <c r="C19" s="4">
        <v>21</v>
      </c>
      <c r="D19" s="4">
        <v>77</v>
      </c>
      <c r="E19" s="4" t="s">
        <v>83</v>
      </c>
      <c r="F19" s="4" t="s">
        <v>87</v>
      </c>
      <c r="G19" s="4">
        <v>186</v>
      </c>
      <c r="H19" s="4">
        <v>80</v>
      </c>
      <c r="I19" s="4"/>
      <c r="J19" s="4">
        <v>10</v>
      </c>
      <c r="K19" s="5">
        <v>9</v>
      </c>
      <c r="L19" s="5">
        <v>11</v>
      </c>
      <c r="M19" s="5">
        <v>30</v>
      </c>
      <c r="N19" s="5">
        <f t="shared" si="14"/>
        <v>48</v>
      </c>
      <c r="O19" s="5">
        <f t="shared" si="15"/>
        <v>0.6</v>
      </c>
      <c r="P19" s="5">
        <v>24</v>
      </c>
      <c r="Q19" s="5">
        <f t="shared" si="16"/>
        <v>0.3</v>
      </c>
      <c r="R19" s="5">
        <v>24</v>
      </c>
      <c r="S19" s="5">
        <f t="shared" si="17"/>
        <v>0.3</v>
      </c>
      <c r="T19" s="5">
        <f t="shared" si="18"/>
        <v>73</v>
      </c>
      <c r="U19" s="5">
        <f t="shared" si="19"/>
        <v>0.91249999999999998</v>
      </c>
      <c r="V19" s="5">
        <v>45</v>
      </c>
      <c r="W19" s="5">
        <f t="shared" si="0"/>
        <v>0.5625</v>
      </c>
      <c r="X19" s="5">
        <v>28</v>
      </c>
      <c r="Y19" s="5">
        <f t="shared" si="1"/>
        <v>0.35</v>
      </c>
      <c r="Z19" s="5">
        <f t="shared" si="20"/>
        <v>0.65753424657534243</v>
      </c>
      <c r="AA19" s="5">
        <v>47</v>
      </c>
      <c r="AB19" s="5">
        <f t="shared" si="2"/>
        <v>0.58750000000000002</v>
      </c>
      <c r="AC19" s="5">
        <v>44</v>
      </c>
      <c r="AD19" s="5">
        <f t="shared" si="3"/>
        <v>0.55000000000000004</v>
      </c>
      <c r="AE19" s="5">
        <v>249</v>
      </c>
      <c r="AF19" s="5">
        <f t="shared" si="4"/>
        <v>3.1124999999999998</v>
      </c>
      <c r="AG19" s="5">
        <v>265</v>
      </c>
      <c r="AH19" s="5">
        <f t="shared" si="5"/>
        <v>3.3125</v>
      </c>
      <c r="AI19" s="5">
        <v>182</v>
      </c>
      <c r="AJ19" s="5">
        <f t="shared" si="6"/>
        <v>2.2749999999999999</v>
      </c>
      <c r="AK19" s="5">
        <v>179</v>
      </c>
      <c r="AL19" s="5">
        <f t="shared" si="7"/>
        <v>2.2374999999999998</v>
      </c>
      <c r="AM19" s="5">
        <v>150</v>
      </c>
      <c r="AN19" s="5">
        <f t="shared" si="8"/>
        <v>1.875</v>
      </c>
      <c r="AO19" s="5">
        <v>154</v>
      </c>
      <c r="AP19" s="5">
        <f t="shared" si="9"/>
        <v>1.925</v>
      </c>
      <c r="AQ19" s="5">
        <v>128</v>
      </c>
      <c r="AR19" s="5">
        <f t="shared" si="10"/>
        <v>1.6</v>
      </c>
      <c r="AS19" s="5">
        <v>124</v>
      </c>
      <c r="AT19" s="5">
        <f t="shared" si="11"/>
        <v>1.55</v>
      </c>
      <c r="AU19" s="5">
        <v>170</v>
      </c>
      <c r="AV19" s="5">
        <f t="shared" si="12"/>
        <v>2.125</v>
      </c>
      <c r="AW19" s="5">
        <v>178</v>
      </c>
      <c r="AX19" s="5">
        <f t="shared" si="13"/>
        <v>2.2250000000000001</v>
      </c>
      <c r="AY19" s="5">
        <f t="shared" si="21"/>
        <v>0.93406593406593408</v>
      </c>
      <c r="AZ19" s="5">
        <f t="shared" si="22"/>
        <v>0.994413407821229</v>
      </c>
      <c r="BA19" s="5">
        <v>23.8</v>
      </c>
      <c r="BB19" s="5">
        <v>22.3</v>
      </c>
      <c r="BC19" s="5">
        <f t="shared" si="23"/>
        <v>6.3025210084033612</v>
      </c>
      <c r="BD19" s="5">
        <v>48.256999999999998</v>
      </c>
      <c r="BE19" s="5">
        <v>1323.1666666666699</v>
      </c>
      <c r="BF19" s="5">
        <v>2076</v>
      </c>
      <c r="BG19" s="5"/>
      <c r="BH19" s="5">
        <f t="shared" si="24"/>
        <v>0</v>
      </c>
      <c r="BI19" s="5">
        <v>100</v>
      </c>
      <c r="BJ19" s="5"/>
      <c r="BK19" s="5"/>
      <c r="BL19" s="5"/>
      <c r="BM19" s="5">
        <v>5</v>
      </c>
      <c r="BN19" s="5">
        <v>5</v>
      </c>
      <c r="BO19" s="5">
        <v>16</v>
      </c>
      <c r="BP19" s="5">
        <v>11</v>
      </c>
      <c r="BQ19" s="5">
        <v>14</v>
      </c>
      <c r="BR19" s="5">
        <v>1.81</v>
      </c>
      <c r="BS19" s="5"/>
      <c r="BT19" s="5">
        <v>11560.20414</v>
      </c>
      <c r="BU19" s="5">
        <v>1377.4849059999999</v>
      </c>
      <c r="BV19" s="5">
        <v>82.261144819999998</v>
      </c>
      <c r="BW19" s="5">
        <v>119</v>
      </c>
      <c r="BX19" s="5">
        <v>118</v>
      </c>
      <c r="BY19" s="5">
        <v>6.47</v>
      </c>
      <c r="BZ19" s="5">
        <v>8.5500000000000007</v>
      </c>
      <c r="CA19" s="5">
        <v>37</v>
      </c>
      <c r="CB19">
        <f t="shared" si="25"/>
        <v>7.51</v>
      </c>
    </row>
    <row r="20" spans="1:80" x14ac:dyDescent="0.35">
      <c r="A20" s="3">
        <v>130</v>
      </c>
      <c r="B20" s="4" t="s">
        <v>32</v>
      </c>
      <c r="C20" s="4">
        <v>19</v>
      </c>
      <c r="D20" s="4">
        <v>86</v>
      </c>
      <c r="E20" s="4" t="s">
        <v>85</v>
      </c>
      <c r="F20" s="4" t="s">
        <v>86</v>
      </c>
      <c r="G20" s="4">
        <v>189</v>
      </c>
      <c r="H20" s="4">
        <v>79</v>
      </c>
      <c r="I20" s="4"/>
      <c r="J20" s="4">
        <v>10</v>
      </c>
      <c r="K20" s="5">
        <v>3</v>
      </c>
      <c r="L20" s="5">
        <v>8</v>
      </c>
      <c r="M20" s="5">
        <v>22</v>
      </c>
      <c r="N20" s="5">
        <f t="shared" si="14"/>
        <v>41</v>
      </c>
      <c r="O20" s="5">
        <f t="shared" si="15"/>
        <v>0.51898734177215189</v>
      </c>
      <c r="P20" s="5">
        <v>16</v>
      </c>
      <c r="Q20" s="5">
        <f t="shared" si="16"/>
        <v>0.20253164556962025</v>
      </c>
      <c r="R20" s="5">
        <v>25</v>
      </c>
      <c r="S20" s="5">
        <f t="shared" si="17"/>
        <v>0.31645569620253167</v>
      </c>
      <c r="T20" s="5">
        <f t="shared" si="18"/>
        <v>69</v>
      </c>
      <c r="U20" s="5">
        <f t="shared" si="19"/>
        <v>0.87341772151898733</v>
      </c>
      <c r="V20" s="5">
        <v>49</v>
      </c>
      <c r="W20" s="5">
        <f t="shared" si="0"/>
        <v>0.620253164556962</v>
      </c>
      <c r="X20" s="5">
        <v>20</v>
      </c>
      <c r="Y20" s="5">
        <f t="shared" si="1"/>
        <v>0.25316455696202533</v>
      </c>
      <c r="Z20" s="5">
        <f t="shared" si="20"/>
        <v>0.59420289855072461</v>
      </c>
      <c r="AA20" s="5">
        <v>33</v>
      </c>
      <c r="AB20" s="5">
        <f t="shared" si="2"/>
        <v>0.41772151898734178</v>
      </c>
      <c r="AC20" s="5">
        <v>17</v>
      </c>
      <c r="AD20" s="5">
        <f t="shared" si="3"/>
        <v>0.21518987341772153</v>
      </c>
      <c r="AE20" s="5">
        <v>201</v>
      </c>
      <c r="AF20" s="5">
        <f t="shared" si="4"/>
        <v>2.5443037974683542</v>
      </c>
      <c r="AG20" s="5">
        <v>225</v>
      </c>
      <c r="AH20" s="5">
        <f t="shared" si="5"/>
        <v>2.8481012658227849</v>
      </c>
      <c r="AI20" s="5">
        <v>152</v>
      </c>
      <c r="AJ20" s="5">
        <f t="shared" si="6"/>
        <v>1.9240506329113924</v>
      </c>
      <c r="AK20" s="5">
        <v>173</v>
      </c>
      <c r="AL20" s="5">
        <f t="shared" si="7"/>
        <v>2.1898734177215191</v>
      </c>
      <c r="AM20" s="5">
        <v>87</v>
      </c>
      <c r="AN20" s="5">
        <f t="shared" si="8"/>
        <v>1.1012658227848102</v>
      </c>
      <c r="AO20" s="5">
        <v>137</v>
      </c>
      <c r="AP20" s="5">
        <f t="shared" si="9"/>
        <v>1.7341772151898733</v>
      </c>
      <c r="AQ20" s="5">
        <v>79</v>
      </c>
      <c r="AR20" s="5">
        <f t="shared" si="10"/>
        <v>1</v>
      </c>
      <c r="AS20" s="5">
        <v>123</v>
      </c>
      <c r="AT20" s="5">
        <f t="shared" si="11"/>
        <v>1.5569620253164558</v>
      </c>
      <c r="AU20" s="5">
        <v>144</v>
      </c>
      <c r="AV20" s="5">
        <f t="shared" si="12"/>
        <v>1.8227848101265822</v>
      </c>
      <c r="AW20" s="5">
        <v>181</v>
      </c>
      <c r="AX20" s="5">
        <f t="shared" si="13"/>
        <v>2.2911392405063293</v>
      </c>
      <c r="AY20" s="5">
        <f t="shared" si="21"/>
        <v>0.94736842105263153</v>
      </c>
      <c r="AZ20" s="5">
        <f t="shared" si="22"/>
        <v>1.046242774566474</v>
      </c>
      <c r="BA20" s="5">
        <v>71</v>
      </c>
      <c r="BB20" s="5">
        <v>68.8</v>
      </c>
      <c r="BC20" s="5">
        <f t="shared" si="23"/>
        <v>3.0985915492957785</v>
      </c>
      <c r="BD20" s="5">
        <v>37.841000000000001</v>
      </c>
      <c r="BE20" s="5">
        <v>1213</v>
      </c>
      <c r="BF20" s="5">
        <v>2087</v>
      </c>
      <c r="BG20" s="5">
        <v>891</v>
      </c>
      <c r="BH20" s="5">
        <f t="shared" si="24"/>
        <v>11.278481012658228</v>
      </c>
      <c r="BI20" s="5">
        <v>75</v>
      </c>
      <c r="BJ20" s="5">
        <v>482</v>
      </c>
      <c r="BK20" s="5">
        <f>BJ20/H20</f>
        <v>6.1012658227848098</v>
      </c>
      <c r="BL20" s="5"/>
      <c r="BM20" s="5">
        <v>5</v>
      </c>
      <c r="BN20" s="5">
        <v>5</v>
      </c>
      <c r="BO20" s="5">
        <v>16.5</v>
      </c>
      <c r="BP20" s="5">
        <v>13</v>
      </c>
      <c r="BQ20" s="5">
        <v>17</v>
      </c>
      <c r="BR20" s="5">
        <v>1.88</v>
      </c>
      <c r="BS20" s="5"/>
      <c r="BT20" s="5">
        <v>12012.384889999999</v>
      </c>
      <c r="BU20" s="5">
        <v>1099.8053629999999</v>
      </c>
      <c r="BV20" s="5">
        <v>0</v>
      </c>
      <c r="BW20" s="5">
        <v>102</v>
      </c>
      <c r="BX20" s="5">
        <v>106</v>
      </c>
      <c r="BY20" s="5">
        <v>6.31</v>
      </c>
      <c r="BZ20" s="5">
        <v>8.08</v>
      </c>
      <c r="CA20" s="5">
        <v>36.47</v>
      </c>
      <c r="CB20">
        <f t="shared" si="25"/>
        <v>7.1950000000000003</v>
      </c>
    </row>
    <row r="21" spans="1:80" x14ac:dyDescent="0.35">
      <c r="A21" s="3">
        <v>14</v>
      </c>
      <c r="B21" s="4" t="s">
        <v>33</v>
      </c>
      <c r="C21" s="4">
        <v>27</v>
      </c>
      <c r="D21" s="4">
        <v>18</v>
      </c>
      <c r="E21" s="4" t="s">
        <v>82</v>
      </c>
      <c r="F21" s="4" t="s">
        <v>87</v>
      </c>
      <c r="G21" s="4">
        <v>174</v>
      </c>
      <c r="H21" s="4">
        <v>78</v>
      </c>
      <c r="I21" s="4">
        <v>40</v>
      </c>
      <c r="J21" s="4">
        <v>9.34</v>
      </c>
      <c r="K21" s="5">
        <v>9</v>
      </c>
      <c r="L21" s="5">
        <v>8</v>
      </c>
      <c r="M21" s="5">
        <v>30</v>
      </c>
      <c r="N21" s="5">
        <f t="shared" si="14"/>
        <v>57</v>
      </c>
      <c r="O21" s="5">
        <f t="shared" si="15"/>
        <v>0.73076923076923073</v>
      </c>
      <c r="P21" s="5">
        <v>30</v>
      </c>
      <c r="Q21" s="5">
        <f t="shared" si="16"/>
        <v>0.38461538461538464</v>
      </c>
      <c r="R21" s="5">
        <v>27</v>
      </c>
      <c r="S21" s="5">
        <f t="shared" si="17"/>
        <v>0.34615384615384615</v>
      </c>
      <c r="T21" s="5">
        <f t="shared" si="18"/>
        <v>72</v>
      </c>
      <c r="U21" s="5">
        <f t="shared" si="19"/>
        <v>0.92307692307692313</v>
      </c>
      <c r="V21" s="5">
        <v>47</v>
      </c>
      <c r="W21" s="5">
        <f t="shared" si="0"/>
        <v>0.60256410256410253</v>
      </c>
      <c r="X21" s="5">
        <v>25</v>
      </c>
      <c r="Y21" s="5">
        <f t="shared" si="1"/>
        <v>0.32051282051282054</v>
      </c>
      <c r="Z21" s="5">
        <f t="shared" si="20"/>
        <v>0.79166666666666663</v>
      </c>
      <c r="AA21" s="5">
        <v>36</v>
      </c>
      <c r="AB21" s="5">
        <f t="shared" si="2"/>
        <v>0.46153846153846156</v>
      </c>
      <c r="AC21" s="5">
        <v>31</v>
      </c>
      <c r="AD21" s="5">
        <f t="shared" si="3"/>
        <v>0.39743589743589741</v>
      </c>
      <c r="AE21" s="5">
        <v>247</v>
      </c>
      <c r="AF21" s="5">
        <f t="shared" si="4"/>
        <v>3.1666666666666665</v>
      </c>
      <c r="AG21" s="5">
        <v>207</v>
      </c>
      <c r="AH21" s="5">
        <f t="shared" si="5"/>
        <v>2.6538461538461537</v>
      </c>
      <c r="AI21" s="5">
        <v>176</v>
      </c>
      <c r="AJ21" s="5">
        <f t="shared" si="6"/>
        <v>2.2564102564102564</v>
      </c>
      <c r="AK21" s="5">
        <v>174</v>
      </c>
      <c r="AL21" s="5">
        <f t="shared" si="7"/>
        <v>2.2307692307692308</v>
      </c>
      <c r="AM21" s="5">
        <v>151</v>
      </c>
      <c r="AN21" s="5">
        <f t="shared" si="8"/>
        <v>1.9358974358974359</v>
      </c>
      <c r="AO21" s="5">
        <v>128</v>
      </c>
      <c r="AP21" s="5">
        <f t="shared" si="9"/>
        <v>1.641025641025641</v>
      </c>
      <c r="AQ21" s="5">
        <v>166</v>
      </c>
      <c r="AR21" s="5">
        <f t="shared" si="10"/>
        <v>2.1282051282051282</v>
      </c>
      <c r="AS21" s="5">
        <v>104</v>
      </c>
      <c r="AT21" s="5">
        <f t="shared" si="11"/>
        <v>1.3333333333333333</v>
      </c>
      <c r="AU21" s="5">
        <v>127</v>
      </c>
      <c r="AV21" s="5">
        <f t="shared" si="12"/>
        <v>1.6282051282051282</v>
      </c>
      <c r="AW21" s="5">
        <v>130</v>
      </c>
      <c r="AX21" s="5">
        <f t="shared" si="13"/>
        <v>1.6666666666666667</v>
      </c>
      <c r="AY21" s="5">
        <f t="shared" si="21"/>
        <v>0.72159090909090906</v>
      </c>
      <c r="AZ21" s="5">
        <f t="shared" si="22"/>
        <v>0.74712643678160917</v>
      </c>
      <c r="BA21" s="5">
        <v>23.8</v>
      </c>
      <c r="BB21" s="5">
        <v>45.1</v>
      </c>
      <c r="BC21" s="5">
        <f t="shared" si="23"/>
        <v>47.228381374722836</v>
      </c>
      <c r="BD21" s="5">
        <v>46.575000000000003</v>
      </c>
      <c r="BE21" s="5">
        <v>1236</v>
      </c>
      <c r="BF21" s="5">
        <v>1900</v>
      </c>
      <c r="BG21" s="5">
        <v>673</v>
      </c>
      <c r="BH21" s="5">
        <f t="shared" si="24"/>
        <v>8.6282051282051277</v>
      </c>
      <c r="BI21" s="5">
        <v>100</v>
      </c>
      <c r="BJ21" s="5">
        <v>651</v>
      </c>
      <c r="BK21" s="5">
        <f>BJ21/H21</f>
        <v>8.3461538461538467</v>
      </c>
      <c r="BL21" s="5">
        <v>931</v>
      </c>
      <c r="BM21" s="5">
        <v>5</v>
      </c>
      <c r="BN21" s="5">
        <v>5</v>
      </c>
      <c r="BO21" s="5">
        <v>16.600000000000001</v>
      </c>
      <c r="BP21" s="5">
        <v>14</v>
      </c>
      <c r="BQ21" s="5">
        <v>16</v>
      </c>
      <c r="BR21" s="5">
        <v>1.79</v>
      </c>
      <c r="BS21" s="5"/>
      <c r="BT21" s="5">
        <v>10643.159470000001</v>
      </c>
      <c r="BU21" s="5">
        <v>1119.587959</v>
      </c>
      <c r="BV21" s="5">
        <v>64.715017950000004</v>
      </c>
      <c r="BW21" s="5">
        <v>94</v>
      </c>
      <c r="BX21" s="5">
        <v>97</v>
      </c>
      <c r="BY21" s="5">
        <v>6.7234999999999996</v>
      </c>
      <c r="BZ21" s="5">
        <v>8.9554500000000008</v>
      </c>
      <c r="CA21" s="5">
        <v>32.5</v>
      </c>
      <c r="CB21">
        <f t="shared" si="25"/>
        <v>7.8394750000000002</v>
      </c>
    </row>
    <row r="22" spans="1:80" x14ac:dyDescent="0.35">
      <c r="A22" s="3">
        <v>29</v>
      </c>
      <c r="B22" s="4" t="s">
        <v>34</v>
      </c>
      <c r="C22" s="4">
        <v>21</v>
      </c>
      <c r="D22" s="4">
        <v>94</v>
      </c>
      <c r="E22" s="4" t="s">
        <v>84</v>
      </c>
      <c r="F22" s="4" t="s">
        <v>86</v>
      </c>
      <c r="G22" s="4">
        <v>188</v>
      </c>
      <c r="H22" s="4">
        <v>90</v>
      </c>
      <c r="I22" s="4">
        <v>53.5</v>
      </c>
      <c r="J22" s="4">
        <v>12.32</v>
      </c>
      <c r="K22" s="5">
        <v>8</v>
      </c>
      <c r="L22" s="5">
        <v>5</v>
      </c>
      <c r="M22" s="5">
        <v>36</v>
      </c>
      <c r="N22" s="5">
        <f t="shared" si="14"/>
        <v>30</v>
      </c>
      <c r="O22" s="5">
        <f t="shared" si="15"/>
        <v>0.33333333333333331</v>
      </c>
      <c r="P22" s="5">
        <v>17</v>
      </c>
      <c r="Q22" s="5">
        <f t="shared" si="16"/>
        <v>0.18888888888888888</v>
      </c>
      <c r="R22" s="5">
        <v>13</v>
      </c>
      <c r="S22" s="5">
        <f t="shared" si="17"/>
        <v>0.14444444444444443</v>
      </c>
      <c r="T22" s="5">
        <f t="shared" si="18"/>
        <v>77</v>
      </c>
      <c r="U22" s="5">
        <f t="shared" si="19"/>
        <v>0.85555555555555551</v>
      </c>
      <c r="V22" s="5">
        <v>49</v>
      </c>
      <c r="W22" s="5">
        <f t="shared" si="0"/>
        <v>0.5444444444444444</v>
      </c>
      <c r="X22" s="5">
        <v>28</v>
      </c>
      <c r="Y22" s="5">
        <f t="shared" si="1"/>
        <v>0.31111111111111112</v>
      </c>
      <c r="Z22" s="5">
        <f t="shared" si="20"/>
        <v>0.38961038961038963</v>
      </c>
      <c r="AA22" s="5">
        <v>25</v>
      </c>
      <c r="AB22" s="5">
        <f t="shared" si="2"/>
        <v>0.27777777777777779</v>
      </c>
      <c r="AC22" s="5">
        <v>26</v>
      </c>
      <c r="AD22" s="5">
        <f t="shared" si="3"/>
        <v>0.28888888888888886</v>
      </c>
      <c r="AE22" s="5">
        <v>285</v>
      </c>
      <c r="AF22" s="5">
        <f t="shared" si="4"/>
        <v>3.1666666666666665</v>
      </c>
      <c r="AG22" s="5">
        <v>298</v>
      </c>
      <c r="AH22" s="5">
        <f t="shared" si="5"/>
        <v>3.3111111111111109</v>
      </c>
      <c r="AI22" s="5">
        <v>191</v>
      </c>
      <c r="AJ22" s="5">
        <f t="shared" si="6"/>
        <v>2.1222222222222222</v>
      </c>
      <c r="AK22" s="5">
        <v>208</v>
      </c>
      <c r="AL22" s="5">
        <f t="shared" si="7"/>
        <v>2.3111111111111109</v>
      </c>
      <c r="AM22" s="5">
        <v>188</v>
      </c>
      <c r="AN22" s="5">
        <f t="shared" si="8"/>
        <v>2.088888888888889</v>
      </c>
      <c r="AO22" s="5">
        <v>191</v>
      </c>
      <c r="AP22" s="5">
        <f t="shared" si="9"/>
        <v>2.1222222222222222</v>
      </c>
      <c r="AQ22" s="5">
        <v>135</v>
      </c>
      <c r="AR22" s="5">
        <f t="shared" si="10"/>
        <v>1.5</v>
      </c>
      <c r="AS22" s="5">
        <v>153</v>
      </c>
      <c r="AT22" s="5">
        <f t="shared" si="11"/>
        <v>1.7</v>
      </c>
      <c r="AU22" s="5">
        <v>239</v>
      </c>
      <c r="AV22" s="5">
        <f t="shared" si="12"/>
        <v>2.6555555555555554</v>
      </c>
      <c r="AW22" s="5">
        <v>256</v>
      </c>
      <c r="AX22" s="5">
        <f t="shared" si="13"/>
        <v>2.8444444444444446</v>
      </c>
      <c r="AY22" s="5">
        <f t="shared" si="21"/>
        <v>1.2513089005235603</v>
      </c>
      <c r="AZ22" s="5">
        <f t="shared" si="22"/>
        <v>1.2307692307692308</v>
      </c>
      <c r="BA22" s="5">
        <v>35.700000000000003</v>
      </c>
      <c r="BB22" s="5">
        <v>43.2</v>
      </c>
      <c r="BC22" s="5">
        <f t="shared" si="23"/>
        <v>17.361111111111111</v>
      </c>
      <c r="BD22" s="5">
        <v>38.18</v>
      </c>
      <c r="BE22" s="5">
        <v>1307</v>
      </c>
      <c r="BF22" s="5">
        <v>1900</v>
      </c>
      <c r="BG22" s="5">
        <v>908</v>
      </c>
      <c r="BH22" s="5">
        <f t="shared" si="24"/>
        <v>10.088888888888889</v>
      </c>
      <c r="BI22" s="5"/>
      <c r="BJ22" s="5"/>
      <c r="BK22" s="5"/>
      <c r="BL22" s="5">
        <v>981</v>
      </c>
      <c r="BM22" s="5">
        <v>5</v>
      </c>
      <c r="BN22" s="5">
        <v>5</v>
      </c>
      <c r="BO22" s="5">
        <v>16</v>
      </c>
      <c r="BP22" s="5">
        <v>12</v>
      </c>
      <c r="BQ22" s="5">
        <v>15</v>
      </c>
      <c r="BR22" s="5"/>
      <c r="BS22" s="5"/>
      <c r="BT22" s="5">
        <v>5212.2510220000004</v>
      </c>
      <c r="BU22" s="5">
        <v>56.1411686</v>
      </c>
      <c r="BV22" s="5">
        <v>2.2938782799999999</v>
      </c>
      <c r="BW22" s="5">
        <v>60</v>
      </c>
      <c r="BX22" s="5">
        <v>36</v>
      </c>
      <c r="BY22" s="5">
        <v>6.97</v>
      </c>
      <c r="BZ22" s="5">
        <v>7.88</v>
      </c>
      <c r="CA22" s="5">
        <v>28</v>
      </c>
      <c r="CB22">
        <f t="shared" si="25"/>
        <v>7.4249999999999998</v>
      </c>
    </row>
    <row r="23" spans="1:80" x14ac:dyDescent="0.35">
      <c r="A23" s="3">
        <v>8</v>
      </c>
      <c r="B23" s="4" t="s">
        <v>35</v>
      </c>
      <c r="C23" s="4">
        <v>32</v>
      </c>
      <c r="D23" s="4">
        <v>10</v>
      </c>
      <c r="E23" s="4" t="s">
        <v>85</v>
      </c>
      <c r="F23" s="4" t="s">
        <v>87</v>
      </c>
      <c r="G23" s="4">
        <v>175</v>
      </c>
      <c r="H23" s="4">
        <v>78</v>
      </c>
      <c r="I23" s="4">
        <v>52</v>
      </c>
      <c r="J23" s="4">
        <v>11.03</v>
      </c>
      <c r="K23" s="5">
        <v>15</v>
      </c>
      <c r="L23" s="5">
        <v>15</v>
      </c>
      <c r="M23" s="5">
        <v>27</v>
      </c>
      <c r="N23" s="5">
        <f t="shared" si="14"/>
        <v>54</v>
      </c>
      <c r="O23" s="5">
        <f t="shared" si="15"/>
        <v>0.69230769230769229</v>
      </c>
      <c r="P23" s="5">
        <v>26</v>
      </c>
      <c r="Q23" s="5">
        <f t="shared" si="16"/>
        <v>0.33333333333333331</v>
      </c>
      <c r="R23" s="5">
        <v>28</v>
      </c>
      <c r="S23" s="5">
        <f t="shared" si="17"/>
        <v>0.35897435897435898</v>
      </c>
      <c r="T23" s="5">
        <f t="shared" si="18"/>
        <v>53</v>
      </c>
      <c r="U23" s="5">
        <f t="shared" si="19"/>
        <v>0.67948717948717952</v>
      </c>
      <c r="V23" s="5">
        <v>26</v>
      </c>
      <c r="W23" s="5">
        <f t="shared" si="0"/>
        <v>0.33333333333333331</v>
      </c>
      <c r="X23" s="5">
        <v>27</v>
      </c>
      <c r="Y23" s="5">
        <f t="shared" si="1"/>
        <v>0.34615384615384615</v>
      </c>
      <c r="Z23" s="5">
        <f t="shared" si="20"/>
        <v>1.0188679245283019</v>
      </c>
      <c r="AA23" s="5">
        <v>36</v>
      </c>
      <c r="AB23" s="5">
        <f t="shared" si="2"/>
        <v>0.46153846153846156</v>
      </c>
      <c r="AC23" s="5">
        <v>31</v>
      </c>
      <c r="AD23" s="5">
        <f t="shared" si="3"/>
        <v>0.39743589743589741</v>
      </c>
      <c r="AE23" s="5">
        <v>268</v>
      </c>
      <c r="AF23" s="5">
        <f t="shared" si="4"/>
        <v>3.4358974358974357</v>
      </c>
      <c r="AG23" s="5">
        <v>263</v>
      </c>
      <c r="AH23" s="5">
        <f t="shared" si="5"/>
        <v>3.3717948717948718</v>
      </c>
      <c r="AI23" s="5">
        <v>182</v>
      </c>
      <c r="AJ23" s="5">
        <f t="shared" si="6"/>
        <v>2.3333333333333335</v>
      </c>
      <c r="AK23" s="5">
        <v>170</v>
      </c>
      <c r="AL23" s="5">
        <f t="shared" si="7"/>
        <v>2.1794871794871793</v>
      </c>
      <c r="AM23" s="5">
        <v>144</v>
      </c>
      <c r="AN23" s="5">
        <f t="shared" si="8"/>
        <v>1.8461538461538463</v>
      </c>
      <c r="AO23" s="5">
        <v>147</v>
      </c>
      <c r="AP23" s="5">
        <f t="shared" si="9"/>
        <v>1.8846153846153846</v>
      </c>
      <c r="AQ23" s="5">
        <v>122</v>
      </c>
      <c r="AR23" s="5">
        <f t="shared" si="10"/>
        <v>1.5641025641025641</v>
      </c>
      <c r="AS23" s="5">
        <v>119</v>
      </c>
      <c r="AT23" s="5">
        <f t="shared" si="11"/>
        <v>1.5256410256410255</v>
      </c>
      <c r="AU23" s="5">
        <v>163</v>
      </c>
      <c r="AV23" s="5">
        <f t="shared" si="12"/>
        <v>2.0897435897435899</v>
      </c>
      <c r="AW23" s="5">
        <v>170</v>
      </c>
      <c r="AX23" s="5">
        <f t="shared" si="13"/>
        <v>2.1794871794871793</v>
      </c>
      <c r="AY23" s="5">
        <f t="shared" si="21"/>
        <v>0.89560439560439564</v>
      </c>
      <c r="AZ23" s="5">
        <f t="shared" si="22"/>
        <v>1</v>
      </c>
      <c r="BA23" s="5">
        <v>31.8</v>
      </c>
      <c r="BB23" s="5">
        <v>32.1</v>
      </c>
      <c r="BC23" s="5">
        <f t="shared" si="23"/>
        <v>0.93457943925233866</v>
      </c>
      <c r="BD23" s="5">
        <v>42.771000000000001</v>
      </c>
      <c r="BE23" s="5">
        <v>1290</v>
      </c>
      <c r="BF23" s="5">
        <v>1900</v>
      </c>
      <c r="BG23" s="5"/>
      <c r="BH23" s="5">
        <f t="shared" si="24"/>
        <v>0</v>
      </c>
      <c r="BI23" s="5"/>
      <c r="BJ23" s="5"/>
      <c r="BK23" s="5"/>
      <c r="BL23" s="5"/>
      <c r="BM23" s="5">
        <v>5</v>
      </c>
      <c r="BN23" s="5">
        <v>5</v>
      </c>
      <c r="BO23" s="5">
        <v>16</v>
      </c>
      <c r="BP23" s="5">
        <v>13</v>
      </c>
      <c r="BQ23" s="5">
        <v>16</v>
      </c>
      <c r="BR23" s="5">
        <v>1.85</v>
      </c>
      <c r="BS23" s="5"/>
      <c r="BT23" s="5">
        <v>11923.66238</v>
      </c>
      <c r="BU23" s="5">
        <v>633.99541220000003</v>
      </c>
      <c r="BV23" s="5">
        <v>4.3119245099999999</v>
      </c>
      <c r="BW23" s="5">
        <v>82</v>
      </c>
      <c r="BX23" s="5">
        <v>95</v>
      </c>
      <c r="BY23" s="5">
        <v>6.2439999999999998</v>
      </c>
      <c r="BZ23" s="5">
        <v>7.9</v>
      </c>
      <c r="CA23" s="5">
        <v>33.700000000000003</v>
      </c>
      <c r="CB23">
        <f t="shared" si="25"/>
        <v>7.0720000000000001</v>
      </c>
    </row>
    <row r="24" spans="1:80" x14ac:dyDescent="0.35">
      <c r="A24" s="3">
        <v>183</v>
      </c>
      <c r="B24" s="4" t="s">
        <v>36</v>
      </c>
      <c r="C24" s="4">
        <v>25</v>
      </c>
      <c r="D24" s="4">
        <v>6</v>
      </c>
      <c r="E24" s="4" t="s">
        <v>85</v>
      </c>
      <c r="F24" s="4" t="s">
        <v>87</v>
      </c>
      <c r="G24" s="4">
        <v>174</v>
      </c>
      <c r="H24" s="4">
        <v>64.7</v>
      </c>
      <c r="I24" s="4">
        <v>45.5</v>
      </c>
      <c r="J24" s="4">
        <v>8.8000000000000007</v>
      </c>
      <c r="K24" s="5">
        <v>7</v>
      </c>
      <c r="L24" s="5">
        <v>8</v>
      </c>
      <c r="M24" s="5">
        <v>22</v>
      </c>
      <c r="N24" s="5">
        <f t="shared" si="14"/>
        <v>46</v>
      </c>
      <c r="O24" s="5">
        <f t="shared" si="15"/>
        <v>0.71097372488408039</v>
      </c>
      <c r="P24" s="5">
        <v>24</v>
      </c>
      <c r="Q24" s="5">
        <f t="shared" si="16"/>
        <v>0.37094281298299842</v>
      </c>
      <c r="R24" s="5">
        <v>22</v>
      </c>
      <c r="S24" s="5">
        <f t="shared" si="17"/>
        <v>0.34003091190108192</v>
      </c>
      <c r="T24" s="5">
        <f t="shared" si="18"/>
        <v>54</v>
      </c>
      <c r="U24" s="5">
        <f t="shared" si="19"/>
        <v>0.83462132921174648</v>
      </c>
      <c r="V24" s="5">
        <v>33</v>
      </c>
      <c r="W24" s="5">
        <f t="shared" si="0"/>
        <v>0.51004636785162283</v>
      </c>
      <c r="X24" s="5">
        <v>21</v>
      </c>
      <c r="Y24" s="5">
        <f t="shared" si="1"/>
        <v>0.32457496136012365</v>
      </c>
      <c r="Z24" s="5">
        <f t="shared" si="20"/>
        <v>0.85185185185185186</v>
      </c>
      <c r="AA24" s="5">
        <v>28</v>
      </c>
      <c r="AB24" s="5">
        <f t="shared" si="2"/>
        <v>0.43276661514683151</v>
      </c>
      <c r="AC24" s="5">
        <v>24</v>
      </c>
      <c r="AD24" s="5">
        <f t="shared" si="3"/>
        <v>0.37094281298299842</v>
      </c>
      <c r="AE24" s="5">
        <v>184</v>
      </c>
      <c r="AF24" s="5">
        <f t="shared" si="4"/>
        <v>2.8438948995363216</v>
      </c>
      <c r="AG24" s="5">
        <v>196</v>
      </c>
      <c r="AH24" s="5">
        <f t="shared" si="5"/>
        <v>3.0293663060278204</v>
      </c>
      <c r="AI24" s="5">
        <v>134</v>
      </c>
      <c r="AJ24" s="5">
        <f t="shared" si="6"/>
        <v>2.0710973724884081</v>
      </c>
      <c r="AK24" s="5">
        <v>132</v>
      </c>
      <c r="AL24" s="5">
        <f t="shared" si="7"/>
        <v>2.0401854714064913</v>
      </c>
      <c r="AM24" s="5">
        <v>111</v>
      </c>
      <c r="AN24" s="5">
        <f t="shared" si="8"/>
        <v>1.7156105100463679</v>
      </c>
      <c r="AO24" s="5">
        <v>114</v>
      </c>
      <c r="AP24" s="5">
        <f t="shared" si="9"/>
        <v>1.7619783616692426</v>
      </c>
      <c r="AQ24" s="5">
        <v>94</v>
      </c>
      <c r="AR24" s="5">
        <f t="shared" si="10"/>
        <v>1.4528593508500771</v>
      </c>
      <c r="AS24" s="5">
        <v>92</v>
      </c>
      <c r="AT24" s="5">
        <f t="shared" si="11"/>
        <v>1.4219474497681608</v>
      </c>
      <c r="AU24" s="5">
        <v>126</v>
      </c>
      <c r="AV24" s="5">
        <f t="shared" si="12"/>
        <v>1.9474497681607419</v>
      </c>
      <c r="AW24" s="5">
        <v>132</v>
      </c>
      <c r="AX24" s="5">
        <f t="shared" si="13"/>
        <v>2.0401854714064913</v>
      </c>
      <c r="AY24" s="5">
        <f t="shared" si="21"/>
        <v>0.94029850746268662</v>
      </c>
      <c r="AZ24" s="5">
        <f t="shared" si="22"/>
        <v>1</v>
      </c>
      <c r="BA24" s="5">
        <v>38.200000000000003</v>
      </c>
      <c r="BB24" s="5">
        <v>33.700000000000003</v>
      </c>
      <c r="BC24" s="5">
        <f t="shared" si="23"/>
        <v>11.780104712041883</v>
      </c>
      <c r="BD24" s="5">
        <v>39.517000000000003</v>
      </c>
      <c r="BE24" s="5">
        <v>1337</v>
      </c>
      <c r="BF24" s="5">
        <v>1900</v>
      </c>
      <c r="BG24" s="5">
        <v>799</v>
      </c>
      <c r="BH24" s="5">
        <f t="shared" si="24"/>
        <v>12.349304482225657</v>
      </c>
      <c r="BI24" s="5"/>
      <c r="BJ24" s="5">
        <v>440</v>
      </c>
      <c r="BK24" s="5">
        <f>BJ24/H24</f>
        <v>6.800618238021638</v>
      </c>
      <c r="BL24" s="5">
        <v>611</v>
      </c>
      <c r="BM24" s="5">
        <v>5</v>
      </c>
      <c r="BN24" s="5">
        <v>5</v>
      </c>
      <c r="BO24" s="5">
        <v>16</v>
      </c>
      <c r="BP24" s="5">
        <v>11</v>
      </c>
      <c r="BQ24" s="5">
        <v>14</v>
      </c>
      <c r="BR24" s="5">
        <v>1.87</v>
      </c>
      <c r="BS24" s="5"/>
      <c r="BT24" s="5">
        <v>12083.46365</v>
      </c>
      <c r="BU24" s="5">
        <v>993.09387030000005</v>
      </c>
      <c r="BV24" s="5">
        <v>54.239693080000002</v>
      </c>
      <c r="BW24" s="5">
        <v>88</v>
      </c>
      <c r="BX24" s="5">
        <v>125</v>
      </c>
      <c r="BY24" s="5">
        <v>6.3</v>
      </c>
      <c r="BZ24" s="5">
        <v>7.95</v>
      </c>
      <c r="CA24" s="5">
        <v>32.54</v>
      </c>
      <c r="CB24">
        <f t="shared" si="25"/>
        <v>7.125</v>
      </c>
    </row>
    <row r="25" spans="1:80" x14ac:dyDescent="0.35">
      <c r="A25" s="3">
        <v>28</v>
      </c>
      <c r="B25" s="4" t="s">
        <v>37</v>
      </c>
      <c r="C25" s="4">
        <v>22</v>
      </c>
      <c r="D25" s="4">
        <v>58</v>
      </c>
      <c r="E25" s="4" t="s">
        <v>83</v>
      </c>
      <c r="F25" s="4" t="s">
        <v>86</v>
      </c>
      <c r="G25" s="4">
        <v>171</v>
      </c>
      <c r="H25" s="4">
        <v>68.2</v>
      </c>
      <c r="I25" s="4">
        <v>55</v>
      </c>
      <c r="J25" s="4">
        <v>12.92</v>
      </c>
      <c r="K25" s="5">
        <v>2</v>
      </c>
      <c r="L25" s="5">
        <v>3</v>
      </c>
      <c r="M25" s="5">
        <v>21</v>
      </c>
      <c r="N25" s="5">
        <f t="shared" si="14"/>
        <v>38</v>
      </c>
      <c r="O25" s="5">
        <f t="shared" si="15"/>
        <v>0.55718475073313778</v>
      </c>
      <c r="P25" s="5">
        <v>17</v>
      </c>
      <c r="Q25" s="5">
        <f t="shared" si="16"/>
        <v>0.24926686217008798</v>
      </c>
      <c r="R25" s="5">
        <v>21</v>
      </c>
      <c r="S25" s="5">
        <f t="shared" si="17"/>
        <v>0.30791788856304986</v>
      </c>
      <c r="T25" s="5">
        <f t="shared" si="18"/>
        <v>66</v>
      </c>
      <c r="U25" s="5">
        <f t="shared" si="19"/>
        <v>0.96774193548387089</v>
      </c>
      <c r="V25" s="5">
        <v>47</v>
      </c>
      <c r="W25" s="5">
        <f t="shared" si="0"/>
        <v>0.689149560117302</v>
      </c>
      <c r="X25" s="5">
        <v>19</v>
      </c>
      <c r="Y25" s="5">
        <f t="shared" si="1"/>
        <v>0.27859237536656889</v>
      </c>
      <c r="Z25" s="5">
        <f t="shared" si="20"/>
        <v>0.5757575757575758</v>
      </c>
      <c r="AA25" s="5">
        <v>11</v>
      </c>
      <c r="AB25" s="5">
        <f t="shared" si="2"/>
        <v>0.16129032258064516</v>
      </c>
      <c r="AC25" s="5">
        <v>15</v>
      </c>
      <c r="AD25" s="5">
        <f t="shared" si="3"/>
        <v>0.21994134897360704</v>
      </c>
      <c r="AE25" s="5">
        <v>160</v>
      </c>
      <c r="AF25" s="5">
        <f t="shared" si="4"/>
        <v>2.3460410557184748</v>
      </c>
      <c r="AG25" s="5">
        <v>178</v>
      </c>
      <c r="AH25" s="5">
        <f t="shared" si="5"/>
        <v>2.6099706744868034</v>
      </c>
      <c r="AI25" s="5">
        <v>139</v>
      </c>
      <c r="AJ25" s="5">
        <f t="shared" si="6"/>
        <v>2.0381231671554252</v>
      </c>
      <c r="AK25" s="5">
        <v>134</v>
      </c>
      <c r="AL25" s="5">
        <f t="shared" si="7"/>
        <v>1.9648093841642227</v>
      </c>
      <c r="AM25" s="5">
        <v>118</v>
      </c>
      <c r="AN25" s="5">
        <f t="shared" si="8"/>
        <v>1.7302052785923754</v>
      </c>
      <c r="AO25" s="5">
        <v>121</v>
      </c>
      <c r="AP25" s="5">
        <f t="shared" si="9"/>
        <v>1.7741935483870968</v>
      </c>
      <c r="AQ25" s="5">
        <v>89</v>
      </c>
      <c r="AR25" s="5">
        <f t="shared" si="10"/>
        <v>1.3049853372434017</v>
      </c>
      <c r="AS25" s="5">
        <v>87</v>
      </c>
      <c r="AT25" s="5">
        <f t="shared" si="11"/>
        <v>1.2756598240469208</v>
      </c>
      <c r="AU25" s="5">
        <v>118</v>
      </c>
      <c r="AV25" s="5">
        <f t="shared" si="12"/>
        <v>1.7302052785923754</v>
      </c>
      <c r="AW25" s="5">
        <v>152</v>
      </c>
      <c r="AX25" s="5">
        <f t="shared" si="13"/>
        <v>2.2287390029325511</v>
      </c>
      <c r="AY25" s="5">
        <f t="shared" si="21"/>
        <v>0.84892086330935257</v>
      </c>
      <c r="AZ25" s="5">
        <f t="shared" si="22"/>
        <v>1.1343283582089552</v>
      </c>
      <c r="BA25" s="5">
        <v>36.799999999999997</v>
      </c>
      <c r="BB25" s="5">
        <v>42.4</v>
      </c>
      <c r="BC25" s="5">
        <f t="shared" si="23"/>
        <v>13.207547169811324</v>
      </c>
      <c r="BD25" s="5">
        <v>36.35</v>
      </c>
      <c r="BE25" s="5">
        <v>984</v>
      </c>
      <c r="BF25" s="5">
        <v>1815</v>
      </c>
      <c r="BG25" s="5">
        <v>613</v>
      </c>
      <c r="BH25" s="5">
        <f t="shared" si="24"/>
        <v>8.9882697947214076</v>
      </c>
      <c r="BI25" s="5">
        <v>75</v>
      </c>
      <c r="BJ25" s="5">
        <v>413</v>
      </c>
      <c r="BK25" s="5">
        <f>BJ25/H25</f>
        <v>6.0557184750733137</v>
      </c>
      <c r="BL25" s="5">
        <v>508</v>
      </c>
      <c r="BM25" s="5">
        <v>5</v>
      </c>
      <c r="BN25" s="5">
        <v>5</v>
      </c>
      <c r="BO25" s="5">
        <v>18</v>
      </c>
      <c r="BP25" s="5">
        <v>13</v>
      </c>
      <c r="BQ25" s="5">
        <v>17</v>
      </c>
      <c r="BR25" s="5">
        <v>1.89</v>
      </c>
      <c r="BS25" s="5"/>
      <c r="BT25" s="5">
        <v>11828.165639999999</v>
      </c>
      <c r="BU25" s="5">
        <v>1556.1748339999999</v>
      </c>
      <c r="BV25" s="5">
        <v>9.1433545800000005</v>
      </c>
      <c r="BW25" s="5">
        <v>123</v>
      </c>
      <c r="BX25" s="5">
        <v>131</v>
      </c>
      <c r="BY25" s="5">
        <v>6.56</v>
      </c>
      <c r="BZ25" s="5">
        <v>8.41</v>
      </c>
      <c r="CA25" s="5">
        <v>35</v>
      </c>
      <c r="CB25">
        <f t="shared" si="25"/>
        <v>7.4849999999999994</v>
      </c>
    </row>
    <row r="26" spans="1:80" x14ac:dyDescent="0.35">
      <c r="A26" s="3">
        <v>32</v>
      </c>
      <c r="B26" s="4" t="s">
        <v>38</v>
      </c>
      <c r="C26" s="4">
        <v>21</v>
      </c>
      <c r="D26" s="4">
        <v>8</v>
      </c>
      <c r="E26" s="4" t="s">
        <v>85</v>
      </c>
      <c r="F26" s="4" t="s">
        <v>86</v>
      </c>
      <c r="G26" s="4">
        <v>179</v>
      </c>
      <c r="H26" s="4">
        <v>70</v>
      </c>
      <c r="I26" s="4">
        <v>37</v>
      </c>
      <c r="J26" s="4">
        <v>7.37</v>
      </c>
      <c r="K26" s="5">
        <v>2</v>
      </c>
      <c r="L26" s="5">
        <v>2</v>
      </c>
      <c r="M26" s="5">
        <v>23</v>
      </c>
      <c r="N26" s="5">
        <f t="shared" si="14"/>
        <v>34</v>
      </c>
      <c r="O26" s="5">
        <f t="shared" si="15"/>
        <v>0.48571428571428571</v>
      </c>
      <c r="P26" s="5">
        <v>17</v>
      </c>
      <c r="Q26" s="5">
        <f t="shared" si="16"/>
        <v>0.24285714285714285</v>
      </c>
      <c r="R26" s="5">
        <v>17</v>
      </c>
      <c r="S26" s="5">
        <f t="shared" si="17"/>
        <v>0.24285714285714285</v>
      </c>
      <c r="T26" s="5">
        <f t="shared" si="18"/>
        <v>42</v>
      </c>
      <c r="U26" s="5">
        <f t="shared" si="19"/>
        <v>0.6</v>
      </c>
      <c r="V26" s="5">
        <v>21</v>
      </c>
      <c r="W26" s="5">
        <f t="shared" si="0"/>
        <v>0.3</v>
      </c>
      <c r="X26" s="5">
        <v>21</v>
      </c>
      <c r="Y26" s="5">
        <f t="shared" si="1"/>
        <v>0.3</v>
      </c>
      <c r="Z26" s="5">
        <f t="shared" si="20"/>
        <v>0.80952380952380953</v>
      </c>
      <c r="AA26" s="5">
        <v>29</v>
      </c>
      <c r="AB26" s="5">
        <f t="shared" si="2"/>
        <v>0.41428571428571431</v>
      </c>
      <c r="AC26" s="5">
        <v>25</v>
      </c>
      <c r="AD26" s="5">
        <f t="shared" si="3"/>
        <v>0.35714285714285715</v>
      </c>
      <c r="AE26" s="5">
        <v>283</v>
      </c>
      <c r="AF26" s="5">
        <f t="shared" si="4"/>
        <v>4.0428571428571427</v>
      </c>
      <c r="AG26" s="5">
        <v>311</v>
      </c>
      <c r="AH26" s="5">
        <f t="shared" si="5"/>
        <v>4.4428571428571431</v>
      </c>
      <c r="AI26" s="5">
        <v>190</v>
      </c>
      <c r="AJ26" s="5">
        <f t="shared" si="6"/>
        <v>2.7142857142857144</v>
      </c>
      <c r="AK26" s="5">
        <v>215</v>
      </c>
      <c r="AL26" s="5">
        <f t="shared" si="7"/>
        <v>3.0714285714285716</v>
      </c>
      <c r="AM26" s="5">
        <v>152</v>
      </c>
      <c r="AN26" s="5">
        <f t="shared" si="8"/>
        <v>2.1714285714285713</v>
      </c>
      <c r="AO26" s="5">
        <v>143</v>
      </c>
      <c r="AP26" s="5">
        <f t="shared" si="9"/>
        <v>2.0428571428571427</v>
      </c>
      <c r="AQ26" s="5">
        <v>119</v>
      </c>
      <c r="AR26" s="5">
        <f t="shared" si="10"/>
        <v>1.7</v>
      </c>
      <c r="AS26" s="5">
        <v>111</v>
      </c>
      <c r="AT26" s="5">
        <f t="shared" si="11"/>
        <v>1.5857142857142856</v>
      </c>
      <c r="AU26" s="5">
        <v>133</v>
      </c>
      <c r="AV26" s="5">
        <f t="shared" si="12"/>
        <v>1.9</v>
      </c>
      <c r="AW26" s="5">
        <v>139</v>
      </c>
      <c r="AX26" s="5">
        <f t="shared" si="13"/>
        <v>1.9857142857142858</v>
      </c>
      <c r="AY26" s="5">
        <f t="shared" si="21"/>
        <v>0.7</v>
      </c>
      <c r="AZ26" s="5">
        <f t="shared" si="22"/>
        <v>0.64651162790697669</v>
      </c>
      <c r="BA26" s="5">
        <v>30</v>
      </c>
      <c r="BB26" s="5">
        <v>30</v>
      </c>
      <c r="BC26" s="5">
        <f t="shared" si="23"/>
        <v>0</v>
      </c>
      <c r="BD26" s="5">
        <v>40</v>
      </c>
      <c r="BE26" s="5">
        <v>961</v>
      </c>
      <c r="BF26" s="5">
        <v>1900</v>
      </c>
      <c r="BG26" s="5">
        <v>639</v>
      </c>
      <c r="BH26" s="5">
        <f t="shared" si="24"/>
        <v>9.1285714285714281</v>
      </c>
      <c r="BI26" s="5"/>
      <c r="BJ26" s="5">
        <v>369</v>
      </c>
      <c r="BK26" s="5">
        <f>BJ26/H26</f>
        <v>5.2714285714285714</v>
      </c>
      <c r="BL26" s="5">
        <v>638</v>
      </c>
      <c r="BM26" s="5">
        <v>5</v>
      </c>
      <c r="BN26" s="5">
        <v>5</v>
      </c>
      <c r="BO26" s="5">
        <v>16</v>
      </c>
      <c r="BP26" s="5">
        <v>14</v>
      </c>
      <c r="BQ26" s="5">
        <v>16</v>
      </c>
      <c r="BR26" s="5"/>
      <c r="BS26" s="5"/>
      <c r="BT26" s="5">
        <v>11674.15215</v>
      </c>
      <c r="BU26" s="5">
        <v>906.74448529999995</v>
      </c>
      <c r="BV26" s="5">
        <v>29.054297680000001</v>
      </c>
      <c r="BW26" s="5">
        <v>95.285714290000001</v>
      </c>
      <c r="BX26" s="5">
        <v>112.4285714</v>
      </c>
      <c r="BY26" s="5"/>
      <c r="BZ26" s="5"/>
      <c r="CA26" s="5">
        <v>32.6</v>
      </c>
      <c r="CB26" t="e">
        <f t="shared" si="25"/>
        <v>#DIV/0!</v>
      </c>
    </row>
    <row r="27" spans="1:80" x14ac:dyDescent="0.35">
      <c r="A27" s="3">
        <v>149</v>
      </c>
      <c r="B27" s="4" t="s">
        <v>39</v>
      </c>
      <c r="C27" s="4">
        <v>29</v>
      </c>
      <c r="D27" s="4">
        <v>23</v>
      </c>
      <c r="E27" s="4" t="s">
        <v>85</v>
      </c>
      <c r="F27" s="4" t="s">
        <v>86</v>
      </c>
      <c r="G27" s="4">
        <v>181</v>
      </c>
      <c r="H27" s="4">
        <v>75</v>
      </c>
      <c r="I27" s="4"/>
      <c r="J27" s="4">
        <v>10</v>
      </c>
      <c r="K27" s="5">
        <v>10</v>
      </c>
      <c r="L27" s="5">
        <v>12</v>
      </c>
      <c r="M27" s="5">
        <v>27</v>
      </c>
      <c r="N27" s="5">
        <f t="shared" si="14"/>
        <v>41</v>
      </c>
      <c r="O27" s="5">
        <f t="shared" si="15"/>
        <v>0.54666666666666663</v>
      </c>
      <c r="P27" s="5">
        <v>22</v>
      </c>
      <c r="Q27" s="5">
        <f t="shared" si="16"/>
        <v>0.29333333333333333</v>
      </c>
      <c r="R27" s="5">
        <v>19</v>
      </c>
      <c r="S27" s="5">
        <f t="shared" si="17"/>
        <v>0.25333333333333335</v>
      </c>
      <c r="T27" s="5">
        <f t="shared" si="18"/>
        <v>76</v>
      </c>
      <c r="U27" s="5">
        <f t="shared" si="19"/>
        <v>1.0133333333333334</v>
      </c>
      <c r="V27" s="5">
        <v>26</v>
      </c>
      <c r="W27" s="5">
        <f t="shared" si="0"/>
        <v>0.34666666666666668</v>
      </c>
      <c r="X27" s="5">
        <v>50</v>
      </c>
      <c r="Y27" s="5">
        <f t="shared" si="1"/>
        <v>0.66666666666666663</v>
      </c>
      <c r="Z27" s="5">
        <f t="shared" si="20"/>
        <v>0.53947368421052633</v>
      </c>
      <c r="AA27" s="5">
        <v>34</v>
      </c>
      <c r="AB27" s="5">
        <f t="shared" si="2"/>
        <v>0.45333333333333331</v>
      </c>
      <c r="AC27" s="5">
        <v>32</v>
      </c>
      <c r="AD27" s="5">
        <f t="shared" si="3"/>
        <v>0.42666666666666669</v>
      </c>
      <c r="AE27" s="5">
        <v>212</v>
      </c>
      <c r="AF27" s="5">
        <f t="shared" si="4"/>
        <v>2.8266666666666667</v>
      </c>
      <c r="AG27" s="5">
        <v>234</v>
      </c>
      <c r="AH27" s="5">
        <f t="shared" si="5"/>
        <v>3.12</v>
      </c>
      <c r="AI27" s="5">
        <v>134</v>
      </c>
      <c r="AJ27" s="5">
        <f t="shared" si="6"/>
        <v>1.7866666666666666</v>
      </c>
      <c r="AK27" s="5">
        <v>141</v>
      </c>
      <c r="AL27" s="5">
        <f t="shared" si="7"/>
        <v>1.88</v>
      </c>
      <c r="AM27" s="5">
        <v>124</v>
      </c>
      <c r="AN27" s="5">
        <f t="shared" si="8"/>
        <v>1.6533333333333333</v>
      </c>
      <c r="AO27" s="5">
        <v>131</v>
      </c>
      <c r="AP27" s="5">
        <f t="shared" si="9"/>
        <v>1.7466666666666666</v>
      </c>
      <c r="AQ27" s="5">
        <v>83</v>
      </c>
      <c r="AR27" s="5">
        <f t="shared" si="10"/>
        <v>1.1066666666666667</v>
      </c>
      <c r="AS27" s="5">
        <v>95</v>
      </c>
      <c r="AT27" s="5">
        <f t="shared" si="11"/>
        <v>1.2666666666666666</v>
      </c>
      <c r="AU27" s="5">
        <v>110</v>
      </c>
      <c r="AV27" s="5">
        <f t="shared" si="12"/>
        <v>1.4666666666666666</v>
      </c>
      <c r="AW27" s="5">
        <v>138</v>
      </c>
      <c r="AX27" s="5">
        <f t="shared" si="13"/>
        <v>1.84</v>
      </c>
      <c r="AY27" s="5">
        <f t="shared" si="21"/>
        <v>0.82089552238805974</v>
      </c>
      <c r="AZ27" s="5">
        <f t="shared" si="22"/>
        <v>0.97872340425531912</v>
      </c>
      <c r="BA27" s="5">
        <v>32</v>
      </c>
      <c r="BB27" s="5">
        <v>36</v>
      </c>
      <c r="BC27" s="5">
        <f t="shared" si="23"/>
        <v>11.111111111111111</v>
      </c>
      <c r="BD27" s="5">
        <v>40.487000000000002</v>
      </c>
      <c r="BE27" s="5">
        <v>1124</v>
      </c>
      <c r="BF27" s="5">
        <v>1900</v>
      </c>
      <c r="BG27" s="5"/>
      <c r="BH27" s="5">
        <f t="shared" si="24"/>
        <v>0</v>
      </c>
      <c r="BI27" s="5"/>
      <c r="BJ27" s="5"/>
      <c r="BK27" s="5"/>
      <c r="BL27" s="5"/>
      <c r="BM27" s="5">
        <v>5</v>
      </c>
      <c r="BN27" s="5">
        <v>5</v>
      </c>
      <c r="BO27" s="5">
        <v>17</v>
      </c>
      <c r="BP27" s="5">
        <v>12</v>
      </c>
      <c r="BQ27" s="5">
        <v>15</v>
      </c>
      <c r="BR27" s="5">
        <v>1.98</v>
      </c>
      <c r="BS27" s="5"/>
      <c r="BT27" s="5">
        <v>11875.31985</v>
      </c>
      <c r="BU27" s="5">
        <v>937.91510849999997</v>
      </c>
      <c r="BV27" s="5">
        <v>35.69639531</v>
      </c>
      <c r="BW27" s="5">
        <v>80</v>
      </c>
      <c r="BX27" s="5">
        <v>95</v>
      </c>
      <c r="BY27" s="5">
        <v>6.03</v>
      </c>
      <c r="BZ27" s="5">
        <v>6.95</v>
      </c>
      <c r="CA27" s="5">
        <v>31.97</v>
      </c>
      <c r="CB27">
        <f t="shared" si="25"/>
        <v>6.49</v>
      </c>
    </row>
    <row r="28" spans="1:80" x14ac:dyDescent="0.35">
      <c r="B28" s="9" t="s">
        <v>93</v>
      </c>
      <c r="E28" s="9" t="s">
        <v>82</v>
      </c>
      <c r="N28" s="5">
        <f t="shared" si="14"/>
        <v>0</v>
      </c>
      <c r="O28" s="5" t="e">
        <f t="shared" si="15"/>
        <v>#DIV/0!</v>
      </c>
      <c r="Q28" s="5" t="e">
        <f t="shared" si="16"/>
        <v>#DIV/0!</v>
      </c>
      <c r="S28" s="5" t="e">
        <f t="shared" si="17"/>
        <v>#DIV/0!</v>
      </c>
      <c r="T28" s="5">
        <f t="shared" si="18"/>
        <v>0</v>
      </c>
      <c r="U28" s="5" t="e">
        <f t="shared" si="19"/>
        <v>#DIV/0!</v>
      </c>
      <c r="W28" s="5" t="e">
        <f t="shared" si="0"/>
        <v>#DIV/0!</v>
      </c>
      <c r="Y28" s="5" t="e">
        <f t="shared" si="1"/>
        <v>#DIV/0!</v>
      </c>
      <c r="Z28" s="5" t="e">
        <f t="shared" si="20"/>
        <v>#DIV/0!</v>
      </c>
      <c r="AB28" s="5" t="e">
        <f t="shared" si="2"/>
        <v>#DIV/0!</v>
      </c>
      <c r="AD28" s="5" t="e">
        <f t="shared" si="3"/>
        <v>#DIV/0!</v>
      </c>
      <c r="AF28" s="5" t="e">
        <f t="shared" si="4"/>
        <v>#DIV/0!</v>
      </c>
      <c r="AH28" s="5" t="e">
        <f t="shared" si="5"/>
        <v>#DIV/0!</v>
      </c>
      <c r="AJ28" s="5" t="e">
        <f t="shared" si="6"/>
        <v>#DIV/0!</v>
      </c>
      <c r="AL28" s="5" t="e">
        <f t="shared" si="7"/>
        <v>#DIV/0!</v>
      </c>
      <c r="AN28" s="5" t="e">
        <f t="shared" si="8"/>
        <v>#DIV/0!</v>
      </c>
      <c r="AP28" s="5" t="e">
        <f t="shared" si="9"/>
        <v>#DIV/0!</v>
      </c>
      <c r="AR28" s="5" t="e">
        <f t="shared" si="10"/>
        <v>#DIV/0!</v>
      </c>
      <c r="AT28" s="5" t="e">
        <f t="shared" si="11"/>
        <v>#DIV/0!</v>
      </c>
      <c r="AV28" s="5" t="e">
        <f t="shared" si="12"/>
        <v>#DIV/0!</v>
      </c>
      <c r="AX28" s="5" t="e">
        <f t="shared" si="13"/>
        <v>#DIV/0!</v>
      </c>
      <c r="AY28" s="5" t="e">
        <f t="shared" si="21"/>
        <v>#DIV/0!</v>
      </c>
      <c r="AZ28" s="5" t="e">
        <f t="shared" si="22"/>
        <v>#DIV/0!</v>
      </c>
      <c r="BC28" s="5" t="e">
        <f t="shared" si="23"/>
        <v>#DIV/0!</v>
      </c>
      <c r="BD28" s="7">
        <v>45.3</v>
      </c>
      <c r="BG28" s="7">
        <v>776</v>
      </c>
      <c r="BH28" s="5" t="e">
        <f t="shared" si="24"/>
        <v>#DIV/0!</v>
      </c>
      <c r="BJ28" s="7">
        <v>412</v>
      </c>
      <c r="BK28" s="5" t="e">
        <f>BJ28/H28</f>
        <v>#DIV/0!</v>
      </c>
      <c r="BL28" s="7">
        <v>768</v>
      </c>
      <c r="BP28" s="5"/>
      <c r="BQ28" s="5"/>
      <c r="BV28">
        <v>0</v>
      </c>
      <c r="CA28" s="7">
        <v>33.6</v>
      </c>
    </row>
    <row r="29" spans="1:80" x14ac:dyDescent="0.35">
      <c r="B29" s="9" t="s">
        <v>95</v>
      </c>
      <c r="E29" s="9" t="s">
        <v>83</v>
      </c>
      <c r="G29" s="10">
        <v>170</v>
      </c>
      <c r="H29" s="10">
        <v>59.7</v>
      </c>
      <c r="I29">
        <v>59.5</v>
      </c>
      <c r="N29" s="5">
        <f t="shared" si="14"/>
        <v>0</v>
      </c>
      <c r="O29" s="5">
        <f t="shared" si="15"/>
        <v>0</v>
      </c>
      <c r="Q29" s="5">
        <f t="shared" si="16"/>
        <v>0</v>
      </c>
      <c r="S29" s="5">
        <f t="shared" si="17"/>
        <v>0</v>
      </c>
      <c r="T29" s="5">
        <f t="shared" si="18"/>
        <v>0</v>
      </c>
      <c r="U29" s="5">
        <f t="shared" si="19"/>
        <v>0</v>
      </c>
      <c r="W29" s="5">
        <f t="shared" si="0"/>
        <v>0</v>
      </c>
      <c r="Y29" s="5">
        <f t="shared" si="1"/>
        <v>0</v>
      </c>
      <c r="Z29" s="5" t="e">
        <f t="shared" si="20"/>
        <v>#DIV/0!</v>
      </c>
      <c r="AB29" s="5">
        <f t="shared" si="2"/>
        <v>0</v>
      </c>
      <c r="AD29" s="5">
        <f t="shared" si="3"/>
        <v>0</v>
      </c>
      <c r="AF29" s="5">
        <f t="shared" si="4"/>
        <v>0</v>
      </c>
      <c r="AH29" s="5">
        <f t="shared" si="5"/>
        <v>0</v>
      </c>
      <c r="AJ29" s="5">
        <f t="shared" si="6"/>
        <v>0</v>
      </c>
      <c r="AL29" s="5">
        <f t="shared" si="7"/>
        <v>0</v>
      </c>
      <c r="AN29" s="5">
        <f t="shared" si="8"/>
        <v>0</v>
      </c>
      <c r="AP29" s="5">
        <f t="shared" si="9"/>
        <v>0</v>
      </c>
      <c r="AR29" s="5">
        <f t="shared" si="10"/>
        <v>0</v>
      </c>
      <c r="AT29" s="5">
        <f t="shared" si="11"/>
        <v>0</v>
      </c>
      <c r="AV29" s="5">
        <f t="shared" si="12"/>
        <v>0</v>
      </c>
      <c r="AX29" s="5">
        <f t="shared" si="13"/>
        <v>0</v>
      </c>
      <c r="AY29" s="5" t="e">
        <f t="shared" si="21"/>
        <v>#DIV/0!</v>
      </c>
      <c r="AZ29" s="5" t="e">
        <f t="shared" si="22"/>
        <v>#DIV/0!</v>
      </c>
      <c r="BC29" s="5" t="e">
        <f t="shared" si="23"/>
        <v>#DIV/0!</v>
      </c>
      <c r="BG29" s="7">
        <v>749</v>
      </c>
      <c r="BH29" s="5">
        <f t="shared" si="24"/>
        <v>12.54606365159129</v>
      </c>
      <c r="BJ29" s="7">
        <v>269</v>
      </c>
      <c r="BK29" s="5">
        <f>BJ29/H29</f>
        <v>4.5058626465661638</v>
      </c>
      <c r="BL29" s="7">
        <v>491</v>
      </c>
      <c r="BP29" s="5"/>
      <c r="BQ29" s="5"/>
      <c r="BV29">
        <v>0</v>
      </c>
    </row>
    <row r="30" spans="1:80" x14ac:dyDescent="0.35">
      <c r="BP30" s="5"/>
      <c r="BQ30" s="5"/>
    </row>
    <row r="31" spans="1:80" x14ac:dyDescent="0.35">
      <c r="BP31" s="5"/>
      <c r="BQ3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baseColWidth="10" defaultColWidth="8.81640625" defaultRowHeight="14.5" x14ac:dyDescent="0.35"/>
  <cols>
    <col min="1" max="1" width="80" customWidth="1"/>
  </cols>
  <sheetData>
    <row r="1" spans="1:1" ht="15.5" x14ac:dyDescent="0.35">
      <c r="A1" s="1" t="s">
        <v>40</v>
      </c>
    </row>
    <row r="3" spans="1:1" x14ac:dyDescent="0.35">
      <c r="A3" s="6" t="s">
        <v>41</v>
      </c>
    </row>
    <row r="4" spans="1:1" x14ac:dyDescent="0.35">
      <c r="A4" t="s">
        <v>42</v>
      </c>
    </row>
    <row r="5" spans="1:1" x14ac:dyDescent="0.35">
      <c r="A5" t="s">
        <v>43</v>
      </c>
    </row>
    <row r="6" spans="1:1" x14ac:dyDescent="0.35">
      <c r="A6" t="s">
        <v>44</v>
      </c>
    </row>
    <row r="8" spans="1:1" x14ac:dyDescent="0.35">
      <c r="A8" s="6" t="s">
        <v>45</v>
      </c>
    </row>
    <row r="9" spans="1:1" x14ac:dyDescent="0.35">
      <c r="A9" t="s">
        <v>46</v>
      </c>
    </row>
    <row r="10" spans="1:1" x14ac:dyDescent="0.35">
      <c r="A10" t="s">
        <v>47</v>
      </c>
    </row>
    <row r="11" spans="1:1" x14ac:dyDescent="0.35">
      <c r="A11" t="s">
        <v>48</v>
      </c>
    </row>
    <row r="12" spans="1:1" x14ac:dyDescent="0.35">
      <c r="A1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KACZMAREK</cp:lastModifiedBy>
  <dcterms:created xsi:type="dcterms:W3CDTF">2025-11-28T14:55:35Z</dcterms:created>
  <dcterms:modified xsi:type="dcterms:W3CDTF">2026-02-06T11:49:48Z</dcterms:modified>
</cp:coreProperties>
</file>